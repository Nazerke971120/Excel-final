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tabRatio="750" firstSheet="2" activeTab="3"/>
  </bookViews>
  <sheets>
    <sheet name="Лист1" sheetId="1" r:id="rId1"/>
    <sheet name="Лист2" sheetId="2" r:id="rId2"/>
    <sheet name="Сводная таблица Товарооборот" sheetId="3" r:id="rId3"/>
    <sheet name="Сводная таблица Т. на склад" sheetId="4" r:id="rId4"/>
    <sheet name="График по неделям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<sst xmlns="http://schemas.openxmlformats.org/spreadsheetml/2006/main" count="1041" uniqueCount="31">
  <si>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</si>
  <si>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</si>
  <si>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</si>
  <si>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</si>
  <si>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</si>
  <si>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</si>
  <si>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</si>
  <si>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</si>
  <si>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</si>
  <si>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</si>
  <si>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</si>
  <si>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</si>
  <si>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</si>
  <si>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</si>
  <si>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</si>
  <si>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</si>
  <si>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</si>
  <si>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</si>
  <si>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</si>
  <si>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</si>
  <si>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</si>
  <si>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</si>
  <si>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</si>
  <si>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</si>
  <si>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</si>
  <si>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</si>
  <si>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</si>
  <si>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Сумма Товарооборот, руб2</t>
  </si>
  <si>
    <t>Сумма Товарооборот, руб</t>
  </si>
  <si>
    <t>Общий итог</t>
  </si>
  <si>
    <t>Сумма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</si>
</sst>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1" fillId="2" borderId="1" xfId="0" applyFont="1" applyFill="1" applyBorder="1" applyAlignment="1">
      <alignment vertical="center" wrapText="1"/>
    </xf>
    <xf numFmtId="178" fontId="2" fillId="0" borderId="0" xfId="0" applyNumberFormat="1" applyFont="1"/>
    <xf numFmtId="0" fontId="2" fillId="0" borderId="0" xfId="0" applyFont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78" fontId="2" fillId="3" borderId="2" xfId="0" applyNumberFormat="1" applyFont="1" applyFill="1" applyBorder="1"/>
    <xf numFmtId="0" fontId="2" fillId="3" borderId="3" xfId="0" applyFont="1" applyFill="1" applyBorder="1"/>
    <xf numFmtId="178" fontId="2" fillId="0" borderId="2" xfId="0" applyNumberFormat="1" applyFont="1" applyBorder="1"/>
    <xf numFmtId="0" fontId="2" fillId="0" borderId="3" xfId="0" applyFont="1" applyBorder="1"/>
    <xf numFmtId="178" fontId="2" fillId="0" borderId="4" xfId="0" applyNumberFormat="1" applyFont="1" applyBorder="1"/>
    <xf numFmtId="0" fontId="2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 по неделям!Сводная 
таблица1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'График по неделям'!$C$1</c:f>
              <c:strCache>
                <c:ptCount val="1"/>
                <c:pt idx="0">
                  <c:v>Сумма Товарооборот, руб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'График по неделям'!$A$2:$A$8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'График по неделям'!$C$2:$C$8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983915409.85665</c:v>
                </c:pt>
                <c:pt idx="2">
                  <c:v>947263006.72395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996737233"/>
        <c:axId val="418170512"/>
      </c:barChart>
      <c:lineChart>
        <c:grouping val="standard"/>
        <c:varyColors val="0"/>
        <c:ser>
          <c:idx val="0"/>
          <c:order val="0"/>
          <c:tx>
            <c:strRef>
              <c:f>'График по неделям'!$B$1</c:f>
              <c:strCache>
                <c:ptCount val="1"/>
                <c:pt idx="0">
                  <c:v>Сумма Товарооборот на склад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'График по неделям'!$A$2:$A$8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'График по неделям'!$B$2:$B$8</c:f>
              <c:numCache>
                <c:formatCode>General</c:formatCode>
                <c:ptCount val="6"/>
                <c:pt idx="0">
                  <c:v>15050189.4844213</c:v>
                </c:pt>
                <c:pt idx="1">
                  <c:v>17810866.5037846</c:v>
                </c:pt>
                <c:pt idx="2">
                  <c:v>17504431.2544996</c:v>
                </c:pt>
                <c:pt idx="3">
                  <c:v>18752594.736983</c:v>
                </c:pt>
                <c:pt idx="4">
                  <c:v>20458986.9163627</c:v>
                </c:pt>
                <c:pt idx="5">
                  <c:v>2786041.43567661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5452448"/>
        <c:axId val="769450679"/>
      </c:lineChart>
      <c:catAx>
        <c:axId val="99673723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ru-RU"/>
                  <a:t>Недели</a:t>
                </a:r>
                <a:endParaRPr lang="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8170512"/>
        <c:crosses val="autoZero"/>
        <c:auto val="1"/>
        <c:lblAlgn val="ctr"/>
        <c:lblOffset val="100"/>
        <c:noMultiLvlLbl val="0"/>
      </c:catAx>
      <c:valAx>
        <c:axId val="4181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ru-RU"/>
                  <a:t>Товарооборот</a:t>
                </a:r>
                <a:endParaRPr lang="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6737233"/>
        <c:crosses val="autoZero"/>
        <c:crossBetween val="between"/>
      </c:valAx>
      <c:catAx>
        <c:axId val="135452448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9450679"/>
        <c:crosses val="max"/>
        <c:auto val="1"/>
        <c:lblAlgn val="ctr"/>
        <c:lblOffset val="100"/>
        <c:noMultiLvlLbl val="0"/>
      </c:catAx>
      <c:valAx>
        <c:axId val="769450679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Товарооборот на склад</a:t>
                </a:r>
                <a:endParaRPr lang="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452448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b72ab9-1cce-4f76-8d5a-4e2055ef6e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8</xdr:row>
      <xdr:rowOff>165100</xdr:rowOff>
    </xdr:from>
    <xdr:to>
      <xdr:col>4</xdr:col>
      <xdr:colOff>88900</xdr:colOff>
      <xdr:row>24</xdr:row>
      <xdr:rowOff>177165</xdr:rowOff>
    </xdr:to>
    <xdr:graphicFrame>
      <xdr:nvGraphicFramePr>
        <xdr:cNvPr id="2" name="Диаграмма 1"/>
        <xdr:cNvGraphicFramePr/>
      </xdr:nvGraphicFramePr>
      <xdr:xfrm>
        <a:off x="50800" y="1638300"/>
        <a:ext cx="5740400" cy="2958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1.0090393519" refreshedBy="Askhat" recordCount="504">
  <cacheSource type="worksheet">
    <worksheetSource ref="A1:I505" sheet="Лист1"/>
  </cacheSource>
  <cacheFields count="9">
    <cacheField name="Дата" numFmtId="178">
      <sharedItems containsSemiMixedTypes="0" containsString="0" containsNonDate="0" containsDate="1" minDate="2020-04-28T00:00:00" maxDate="2020-06-01T00:00:00" count="35">
        <d v="2020-05-31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6-01T00:00:00"/>
        <d v="2020-05-29T00:00:00"/>
        <d v="2020-05-27T00:00:00"/>
        <d v="2020-05-22T00:00:00"/>
        <d v="2020-05-11T00:00:00"/>
        <d v="2020-05-18T00:00:00"/>
        <d v="2020-05-14T00:00:00"/>
        <d v="2020-05-15T00:00:00"/>
      </sharedItems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0" maxValue="524481" count="502">
        <n v="7944"/>
        <n v="10029"/>
        <n v="8536.5"/>
        <n v="38947.5"/>
        <n v="31842"/>
        <n v="32023.5"/>
        <n v="31147.5"/>
        <n v="25566"/>
        <n v="29319"/>
        <n v="29031"/>
        <n v="33423"/>
        <n v="32487"/>
        <n v="28219.5"/>
        <n v="31272"/>
        <n v="34077"/>
        <n v="31566"/>
        <n v="26940"/>
        <n v="29241"/>
        <n v="26082"/>
        <n v="32511"/>
        <n v="42703.5"/>
        <n v="35592"/>
        <n v="30445.5"/>
        <n v="36619.5"/>
        <n v="29409"/>
        <n v="27018"/>
        <n v="34303.5"/>
        <n v="36999"/>
        <n v="44001"/>
        <n v="30982.5"/>
        <n v="88063.5"/>
        <n v="84024"/>
        <n v="78057"/>
        <n v="69720"/>
        <n v="72928.5"/>
        <n v="79527"/>
        <n v="60463.5"/>
        <n v="79975.5"/>
        <n v="97534.5"/>
        <n v="71520"/>
        <n v="79485"/>
        <n v="93313.5"/>
        <n v="76585.5"/>
        <n v="81826.5"/>
        <n v="78846"/>
        <n v="77263.5"/>
        <n v="68994"/>
        <n v="102889.5"/>
        <n v="76999.5"/>
        <n v="77565"/>
        <n v="84132"/>
        <n v="69544.5"/>
        <n v="73204.5"/>
        <n v="76663.5"/>
        <n v="14265"/>
        <n v="11526"/>
        <n v="10402.5"/>
        <n v="13216.5"/>
        <n v="9130.5"/>
        <n v="10840.5"/>
        <n v="7866"/>
        <n v="11835"/>
        <n v="11619"/>
        <n v="9328.5"/>
        <n v="11250"/>
        <n v="13063.5"/>
        <n v="10147.5"/>
        <n v="12331.5"/>
        <n v="11202"/>
        <n v="89149.5"/>
        <n v="8185.5"/>
        <n v="108123"/>
        <n v="9210"/>
        <n v="14773.5"/>
        <n v="78141"/>
        <n v="12280.5"/>
        <n v="8934"/>
        <n v="12918"/>
        <n v="12528"/>
        <n v="11029.5"/>
        <n v="9994.5"/>
        <n v="12724.5"/>
        <n v="14728.5"/>
        <n v="13038"/>
        <n v="35482.5"/>
        <n v="32434.5"/>
        <n v="30486"/>
        <n v="32079"/>
        <n v="27072"/>
        <n v="25917"/>
        <n v="19461"/>
        <n v="31407"/>
        <n v="25792.5"/>
        <n v="26032.5"/>
        <n v="31707"/>
        <n v="29955"/>
        <n v="22848"/>
        <n v="23314.5"/>
        <n v="26464.5"/>
        <n v="23539.5"/>
        <n v="24678"/>
        <n v="38176.5"/>
        <n v="30603"/>
        <n v="24211.5"/>
        <n v="31399.5"/>
        <n v="25294.5"/>
        <n v="25468.5"/>
        <n v="31854"/>
        <n v="32359.5"/>
        <n v="39867"/>
        <n v="31974"/>
        <n v="321412.5"/>
        <n v="276568.5"/>
        <n v="269029.5"/>
        <n v="285972"/>
        <n v="283942.5"/>
        <n v="298059"/>
        <n v="232903.5"/>
        <n v="276966"/>
        <n v="296149.5"/>
        <n v="281796"/>
        <n v="288936"/>
        <n v="300151.5"/>
        <n v="262734"/>
        <n v="286002"/>
        <n v="258459"/>
        <n v="274083"/>
        <n v="277512"/>
        <n v="356982"/>
        <n v="266983.5"/>
        <n v="311131.5"/>
        <n v="287206.5"/>
        <n v="370092"/>
        <n v="247813.5"/>
        <n v="287740.5"/>
        <n v="408810"/>
        <n v="362536.5"/>
        <n v="357072"/>
        <n v="359214"/>
        <n v="360255"/>
        <n v="387220.5"/>
        <n v="296580"/>
        <n v="369861"/>
        <n v="372504"/>
        <n v="373392"/>
        <n v="378043.5"/>
        <n v="388668"/>
        <n v="333792"/>
        <n v="376060.5"/>
        <n v="350068.5"/>
        <n v="294337.5"/>
        <n v="342666"/>
        <n v="364882.5"/>
        <n v="355278"/>
        <n v="456885"/>
        <n v="278491.5"/>
        <n v="349734"/>
        <n v="401580"/>
        <n v="368649"/>
        <n v="463530"/>
        <n v="319110"/>
        <n v="375744"/>
        <n v="81331.5"/>
        <n v="75796.5"/>
        <n v="72861"/>
        <n v="83373"/>
        <n v="64108.5"/>
        <n v="74707.5"/>
        <n v="46216.5"/>
        <n v="67726.5"/>
        <n v="82228.5"/>
        <n v="64390.5"/>
        <n v="73126.5"/>
        <n v="99631.5"/>
        <n v="66396"/>
        <n v="73147.5"/>
        <n v="73062"/>
        <n v="379663.5"/>
        <n v="70581"/>
        <n v="453123"/>
        <n v="63012"/>
        <n v="89556"/>
        <n v="364638"/>
        <n v="66316.5"/>
        <n v="78235.5"/>
        <n v="88311"/>
        <n v="61804.5"/>
        <n v="71067"/>
        <n v="74649"/>
        <n v="44560.5"/>
        <n v="38250"/>
        <n v="34830"/>
        <n v="32239.5"/>
        <n v="30780"/>
        <n v="29142"/>
        <n v="26428.5"/>
        <n v="40744.5"/>
        <n v="46620"/>
        <n v="32419.5"/>
        <n v="40819.5"/>
        <n v="41391"/>
        <n v="29482.5"/>
        <n v="32181"/>
        <n v="35535"/>
        <n v="76234.5"/>
        <n v="29935.5"/>
        <n v="106926"/>
        <n v="30342"/>
        <n v="42999"/>
        <n v="69945"/>
        <n v="38740.5"/>
        <n v="31231.5"/>
        <n v="37489.5"/>
        <n v="34399.5"/>
        <n v="32851.5"/>
        <n v="38194.5"/>
        <n v="42423"/>
        <n v="48286.5"/>
        <n v="41442"/>
        <n v="18600"/>
        <n v="16638"/>
        <n v="15609"/>
        <n v="13948.5"/>
        <n v="12301.5"/>
        <n v="13014"/>
        <n v="12313.5"/>
        <n v="17391"/>
        <n v="17113.5"/>
        <n v="12802.5"/>
        <n v="16554"/>
        <n v="17329.5"/>
        <n v="15987"/>
        <n v="13303.5"/>
        <n v="14305.5"/>
        <n v="12924"/>
        <n v="14061"/>
        <n v="21958.5"/>
        <n v="17211"/>
        <n v="12753"/>
        <n v="16435.5"/>
        <n v="14494.5"/>
        <n v="12705"/>
        <n v="18075"/>
        <n v="13120.5"/>
        <n v="16237.5"/>
        <n v="11967"/>
        <n v="12037.5"/>
        <n v="7087.5"/>
        <n v="25816.5"/>
        <n v="4624.5"/>
        <n v="12259.5"/>
        <n v="5446.5"/>
        <n v="11296.5"/>
        <n v="12135"/>
        <n v="12630"/>
        <n v="8223"/>
        <n v="25149"/>
        <n v="10401"/>
        <n v="17689.5"/>
        <n v="8127"/>
        <n v="27250.5"/>
        <n v="8464.5"/>
        <n v="14167.5"/>
        <n v="16500"/>
        <n v="13260"/>
        <n v="4285.5"/>
        <n v="13440"/>
        <n v="9058.5"/>
        <n v="8719.5"/>
        <n v="12666"/>
        <n v="34563"/>
        <n v="28882.5"/>
        <n v="28275"/>
        <n v="26271"/>
        <n v="23587.5"/>
        <n v="18427.5"/>
        <n v="27156"/>
        <n v="35190"/>
        <n v="25483.5"/>
        <n v="25362"/>
        <n v="28849.5"/>
        <n v="26367"/>
        <n v="25539"/>
        <n v="14808"/>
        <n v="21343.5"/>
        <n v="17946"/>
        <n v="24337.5"/>
        <n v="36997.5"/>
        <n v="13864.5"/>
        <n v="28494"/>
        <n v="27883.5"/>
        <n v="31224"/>
        <n v="25020"/>
        <n v="26184"/>
        <n v="29824.5"/>
        <n v="208351.5"/>
        <n v="204637.5"/>
        <n v="31372.5"/>
        <n v="34681.5"/>
        <n v="28197"/>
        <n v="236551.5"/>
        <n v="223597.5"/>
        <n v="193363.5"/>
        <n v="188319"/>
        <n v="237544.5"/>
        <n v="203209.5"/>
        <n v="185979"/>
        <n v="244905"/>
        <n v="239409"/>
        <n v="192886.5"/>
        <n v="224233.5"/>
        <n v="219622.5"/>
        <n v="213582"/>
        <n v="195705"/>
        <n v="193722"/>
        <n v="257215.5"/>
        <n v="224779.5"/>
        <n v="292018.5"/>
        <n v="198751.5"/>
        <n v="214386"/>
        <n v="243825"/>
        <n v="232701"/>
        <n v="219411"/>
        <n v="200029.5"/>
        <n v="225480"/>
        <n v="211453.5"/>
        <n v="184801.5"/>
        <n v="177976.5"/>
        <n v="223617"/>
        <n v="176397"/>
        <n v="232369.5"/>
        <n v="226540.5"/>
        <n v="189679.5"/>
        <n v="213640.5"/>
        <n v="214885.5"/>
        <n v="203832"/>
        <n v="188662.5"/>
        <n v="215277"/>
        <n v="248148"/>
        <n v="246414"/>
        <n v="216498"/>
        <n v="275793"/>
        <n v="199753.5"/>
        <n v="192948"/>
        <n v="206038.5"/>
        <n v="231559.5"/>
        <n v="225076.5"/>
        <n v="209415"/>
        <n v="193719"/>
        <n v="12250.5"/>
        <n v="12541.5"/>
        <n v="206758.5"/>
        <n v="244734"/>
        <n v="191641.5"/>
        <n v="16368"/>
        <n v="14427"/>
        <n v="11745"/>
        <n v="11062.5"/>
        <n v="10018.5"/>
        <n v="10437"/>
        <n v="13644"/>
        <n v="13443"/>
        <n v="14182.5"/>
        <n v="14928"/>
        <n v="13941"/>
        <n v="14643"/>
        <n v="10032"/>
        <n v="12468"/>
        <n v="17943"/>
        <n v="15807"/>
        <n v="11976"/>
        <n v="14566.5"/>
        <n v="12976.5"/>
        <n v="11719.5"/>
        <n v="17197.5"/>
        <n v="14419.5"/>
        <n v="7816.5"/>
        <n v="6409.5"/>
        <n v="11220"/>
        <n v="8350.5"/>
        <n v="8428.5"/>
        <n v="32817"/>
        <n v="36031.5"/>
        <n v="5127"/>
        <n v="27187.5"/>
        <n v="20688"/>
        <n v="15678"/>
        <n v="31329"/>
        <n v="29658"/>
        <n v="34150.5"/>
        <n v="31947"/>
        <n v="10416"/>
        <n v="35431.5"/>
        <n v="78544.5"/>
        <n v="97963.5"/>
        <n v="77269.5"/>
        <n v="16143"/>
        <n v="72220.5"/>
        <n v="78058.5"/>
        <n v="70498.5"/>
        <n v="78961.5"/>
        <n v="12490.5"/>
        <n v="18036"/>
        <n v="11416.5"/>
        <n v="9007.5"/>
        <n v="87552"/>
        <n v="11680.5"/>
        <n v="14421"/>
        <n v="14823"/>
        <n v="31257"/>
        <n v="38074.5"/>
        <n v="32170.5"/>
        <n v="42397.5"/>
        <n v="28668"/>
        <n v="27411"/>
        <n v="32854.5"/>
        <n v="35346"/>
        <n v="286558.5"/>
        <n v="304092"/>
        <n v="272926.5"/>
        <n v="237099"/>
        <n v="273900"/>
        <n v="274059"/>
        <n v="318816"/>
        <n v="370012.5"/>
        <n v="393018"/>
        <n v="349699.5"/>
        <n v="318565.5"/>
        <n v="422965.5"/>
        <n v="355081.5"/>
        <n v="358387.5"/>
        <n v="403261.5"/>
        <n v="69010.5"/>
        <n v="75820.5"/>
        <n v="64740"/>
        <n v="59574"/>
        <n v="524481"/>
        <n v="70278"/>
        <n v="63645"/>
        <n v="75642"/>
        <n v="40420.5"/>
        <n v="53838"/>
        <n v="40528.5"/>
        <n v="32733"/>
        <n v="84433.5"/>
        <n v="36655.5"/>
        <n v="33886.5"/>
        <n v="41697"/>
        <n v="44569.5"/>
        <n v="18069"/>
        <n v="21483"/>
        <n v="16687.5"/>
        <n v="12238.5"/>
        <n v="14290.5"/>
        <n v="14385"/>
        <n v="16498.5"/>
        <n v="13203"/>
        <n v="15802.5"/>
        <n v="16476"/>
        <n v="12654"/>
        <n v="19647"/>
        <n v="12450"/>
        <n v="11161.5"/>
        <n v="12229.5"/>
        <n v="28050"/>
        <n v="30781.5"/>
        <n v="27960"/>
        <n v="23629.5"/>
        <n v="17052"/>
        <n v="27181.5"/>
        <n v="25656"/>
        <n v="29283"/>
        <n v="32782.5"/>
        <n v="215592"/>
        <n v="228334.5"/>
        <n v="188776.5"/>
        <n v="175293"/>
        <n v="201999"/>
        <n v="197946"/>
        <n v="230896.5"/>
        <n v="203532"/>
        <n v="214428"/>
        <n v="183228"/>
        <n v="166948.5"/>
        <n v="232102.5"/>
        <n v="196560"/>
        <n v="186496.5"/>
        <n v="219772.5"/>
        <n v="226476"/>
        <n v="8362.5"/>
        <n v="17008.5"/>
        <n v="5166"/>
        <n v="10941"/>
        <n v="14497.5"/>
        <n v="13810.5"/>
        <n v="13752"/>
        <n v="15276"/>
        <n v="4408.5"/>
        <n v="9927"/>
        <n v="9474"/>
        <n v="16878"/>
        <n v="14238"/>
      </sharedItems>
    </cacheField>
    <cacheField name="Товарооборот, руб" numFmtId="0">
      <sharedItems containsSemiMixedTypes="0" containsString="0" containsNumber="1" minValue="0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"/>
        <n v="31053316.5"/>
        <n v="29042520"/>
        <n v="27852900"/>
        <n v="29368771.61745"/>
        <n v="27278441.145"/>
        <n v="29159032.5"/>
        <n v="26467453.5"/>
        <n v="28427001"/>
        <n v="28770810.1056"/>
        <n v="35103926.71155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5"/>
        <n v="27535284.1476"/>
        <n v="28181292"/>
        <n v="32354331"/>
        <n v="39034861.5"/>
        <n v="39498373.5"/>
        <n v="37257840.18135"/>
        <n v="33781581"/>
        <n v="41767140.105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0" maxValue="129" count="24">
        <n v="15"/>
        <n v="21"/>
        <n v="20"/>
        <n v="18"/>
        <n v="19"/>
        <n v="31"/>
        <n v="10"/>
        <n v="17"/>
        <n v="129"/>
        <n v="128"/>
        <n v="125"/>
        <n v="124"/>
        <n v="36"/>
        <n v="37"/>
        <n v="23"/>
        <n v="22"/>
        <n v="16"/>
        <n v="59"/>
        <n v="60"/>
        <n v="54"/>
        <n v="7"/>
        <n v="9"/>
        <n v="6"/>
        <n v="123"/>
      </sharedItems>
    </cacheField>
    <cacheField name="Количество заказов" numFmtId="0">
      <sharedItems containsSemiMixedTypes="0" containsString="0" containsNumber="1" containsInteger="1" minValue="0" maxValue="25828" count="481">
        <n v="441"/>
        <n v="490"/>
        <n v="464"/>
        <n v="2145"/>
        <n v="1860"/>
        <n v="1874"/>
        <n v="1735"/>
        <n v="1519"/>
        <n v="1684"/>
        <n v="1708"/>
        <n v="2044"/>
        <n v="1826"/>
        <n v="1656"/>
        <n v="1787"/>
        <n v="1921"/>
        <n v="1773"/>
        <n v="1539"/>
        <n v="1698"/>
        <n v="1520"/>
        <n v="1784"/>
        <n v="2340"/>
        <n v="2087"/>
        <n v="1712"/>
        <n v="2016"/>
        <n v="1646"/>
        <n v="1542"/>
        <n v="1999"/>
        <n v="2271"/>
        <n v="2597"/>
        <n v="1886"/>
        <n v="5593"/>
        <n v="5389"/>
        <n v="5206"/>
        <n v="4556"/>
        <n v="4968"/>
        <n v="5378"/>
        <n v="4157"/>
        <n v="5493"/>
        <n v="6118"/>
        <n v="4800"/>
        <n v="5207"/>
        <n v="5698"/>
        <n v="5188"/>
        <n v="5465"/>
        <n v="5251"/>
        <n v="5155"/>
        <n v="4709"/>
        <n v="6276"/>
        <n v="5210"/>
        <n v="5120"/>
        <n v="5495"/>
        <n v="4635"/>
        <n v="4903"/>
        <n v="5035"/>
        <n v="760"/>
        <n v="649"/>
        <n v="591"/>
        <n v="644"/>
        <n v="462"/>
        <n v="502"/>
        <n v="416"/>
        <n v="692"/>
        <n v="554"/>
        <n v="526"/>
        <n v="677"/>
        <n v="745"/>
        <n v="511"/>
        <n v="580"/>
        <n v="612"/>
        <n v="5760"/>
        <n v="402"/>
        <n v="6735"/>
        <n v="465"/>
        <n v="828"/>
        <n v="5355"/>
        <n v="739"/>
        <n v="448"/>
        <n v="642"/>
        <n v="638"/>
        <n v="563"/>
        <n v="639"/>
        <n v="749"/>
        <n v="865"/>
        <n v="791"/>
        <n v="2080"/>
        <n v="1871"/>
        <n v="1851"/>
        <n v="1582"/>
        <n v="1534"/>
        <n v="1217"/>
        <n v="2036"/>
        <n v="1497"/>
        <n v="1649"/>
        <n v="1949"/>
        <n v="1889"/>
        <n v="1417"/>
        <n v="1439"/>
        <n v="1625"/>
        <n v="1402"/>
        <n v="1499"/>
        <n v="2266"/>
        <n v="2011"/>
        <n v="1848"/>
        <n v="1522"/>
        <n v="1530"/>
        <n v="2015"/>
        <n v="2060"/>
        <n v="2451"/>
        <n v="2088"/>
        <n v="17914"/>
        <n v="16191"/>
        <n v="15744"/>
        <n v="16420"/>
        <n v="16525"/>
        <n v="17368"/>
        <n v="14009"/>
        <n v="16459"/>
        <n v="17002"/>
        <n v="16387"/>
        <n v="16373"/>
        <n v="17095"/>
        <n v="15665"/>
        <n v="16450"/>
        <n v="15304"/>
        <n v="15778"/>
        <n v="16376"/>
        <n v="19856"/>
        <n v="15822"/>
        <n v="18042"/>
        <n v="16437"/>
        <n v="20452"/>
        <n v="14582"/>
        <n v="16432"/>
        <n v="22291"/>
        <n v="20771"/>
        <n v="20079"/>
        <n v="20132"/>
        <n v="20495"/>
        <n v="21863"/>
        <n v="16932"/>
        <n v="21153"/>
        <n v="20602"/>
        <n v="21106"/>
        <n v="20911"/>
        <n v="21674"/>
        <n v="18944"/>
        <n v="20914"/>
        <n v="19965"/>
        <n v="17235"/>
        <n v="18861"/>
        <n v="20243"/>
        <n v="20218"/>
        <n v="24574"/>
        <n v="16453"/>
        <n v="20358"/>
        <n v="22368"/>
        <n v="20368"/>
        <n v="24620"/>
        <n v="18014"/>
        <n v="21004"/>
        <n v="5286"/>
        <n v="5094"/>
        <n v="4918"/>
        <n v="5413"/>
        <n v="4508"/>
        <n v="4937"/>
        <n v="3442"/>
        <n v="4770"/>
        <n v="5457"/>
        <n v="4418"/>
        <n v="4816"/>
        <n v="5914"/>
        <n v="4575"/>
        <n v="4923"/>
        <n v="4967"/>
        <n v="21392"/>
        <n v="4751"/>
        <n v="24325"/>
        <n v="4384"/>
        <n v="5651"/>
        <n v="20868"/>
        <n v="4641"/>
        <n v="5143"/>
        <n v="5746"/>
        <n v="4199"/>
        <n v="4826"/>
        <n v="4915"/>
        <n v="2427"/>
        <n v="2245"/>
        <n v="2054"/>
        <n v="1891"/>
        <n v="1804"/>
        <n v="1676"/>
        <n v="1613"/>
        <n v="2418"/>
        <n v="2468"/>
        <n v="1926"/>
        <n v="2335"/>
        <n v="2410"/>
        <n v="1757"/>
        <n v="1846"/>
        <n v="2061"/>
        <n v="5215"/>
        <n v="1716"/>
        <n v="6645"/>
        <n v="1747"/>
        <n v="2460"/>
        <n v="4840"/>
        <n v="2330"/>
        <n v="1756"/>
        <n v="2120"/>
        <n v="1957"/>
        <n v="1879"/>
        <n v="2254"/>
        <n v="2522"/>
        <n v="2793"/>
        <n v="2454"/>
        <n v="1111"/>
        <n v="1012"/>
        <n v="971"/>
        <n v="849"/>
        <n v="750"/>
        <n v="786"/>
        <n v="751"/>
        <n v="1140"/>
        <n v="996"/>
        <n v="845"/>
        <n v="1045"/>
        <n v="1050"/>
        <n v="922"/>
        <n v="780"/>
        <n v="898"/>
        <n v="784"/>
        <n v="839"/>
        <n v="1294"/>
        <n v="1142"/>
        <n v="950"/>
        <n v="879"/>
        <n v="805"/>
        <n v="1128"/>
        <n v="747"/>
        <n v="930"/>
        <n v="623"/>
        <n v="390"/>
        <n v="1599"/>
        <n v="274"/>
        <n v="812"/>
        <n v="294"/>
        <n v="624"/>
        <n v="455"/>
        <n v="1505"/>
        <n v="599"/>
        <n v="1186"/>
        <n v="1697"/>
        <n v="467"/>
        <n v="840"/>
        <n v="1097"/>
        <n v="835"/>
        <n v="262"/>
        <n v="706"/>
        <n v="492"/>
        <n v="480"/>
        <n v="779"/>
        <n v="2039"/>
        <n v="1831"/>
        <n v="1790"/>
        <n v="1479"/>
        <n v="1206"/>
        <n v="1814"/>
        <n v="1987"/>
        <n v="1598"/>
        <n v="1650"/>
        <n v="1823"/>
        <n v="1622"/>
        <n v="1605"/>
        <n v="917"/>
        <n v="1314"/>
        <n v="1048"/>
        <n v="1509"/>
        <n v="2195"/>
        <n v="876"/>
        <n v="1899"/>
        <n v="1662"/>
        <n v="1836"/>
        <n v="1580"/>
        <n v="1868"/>
        <n v="13186"/>
        <n v="12943"/>
        <n v="2056"/>
        <n v="2174"/>
        <n v="1875"/>
        <n v="14049"/>
        <n v="13867"/>
        <n v="11698"/>
        <n v="12016"/>
        <n v="14423"/>
        <n v="12747"/>
        <n v="12429"/>
        <n v="15369"/>
        <n v="15222"/>
        <n v="12000"/>
        <n v="14005"/>
        <n v="13792"/>
        <n v="13469"/>
        <n v="12306"/>
        <n v="12007"/>
        <n v="15277"/>
        <n v="14103"/>
        <n v="17295"/>
        <n v="12983"/>
        <n v="13251"/>
        <n v="14569"/>
        <n v="14098"/>
        <n v="13495"/>
        <n v="12822"/>
        <n v="13170"/>
        <n v="13070"/>
        <n v="11128"/>
        <n v="11288"/>
        <n v="13606"/>
        <n v="11622"/>
        <n v="14482"/>
        <n v="14205"/>
        <n v="11614"/>
        <n v="13240"/>
        <n v="13298"/>
        <n v="12775"/>
        <n v="11522"/>
        <n v="13684"/>
        <n v="14823"/>
        <n v="15030"/>
        <n v="13406"/>
        <n v="16221"/>
        <n v="12854"/>
        <n v="12336"/>
        <n v="12817"/>
        <n v="13832"/>
        <n v="13563"/>
        <n v="12743"/>
        <n v="12211"/>
        <n v="659"/>
        <n v="636"/>
        <n v="13106"/>
        <n v="14590"/>
        <n v="12409"/>
        <n v="920"/>
        <n v="857"/>
        <n v="859"/>
        <n v="654"/>
        <n v="622"/>
        <n v="567"/>
        <n v="577"/>
        <n v="721"/>
        <n v="888"/>
        <n v="890"/>
        <n v="854"/>
        <n v="585"/>
        <n v="701"/>
        <n v="1031"/>
        <n v="989"/>
        <n v="792"/>
        <n v="703"/>
        <n v="676"/>
        <n v="1006"/>
        <n v="914"/>
        <n v="453"/>
        <n v="345"/>
        <n v="532"/>
        <n v="400"/>
        <n v="420"/>
        <n v="2079"/>
        <n v="2046"/>
        <n v="261"/>
        <n v="1597"/>
        <n v="1216"/>
        <n v="1020"/>
        <n v="1834"/>
        <n v="1706"/>
        <n v="2025"/>
        <n v="530"/>
        <n v="2111"/>
        <n v="5330"/>
        <n v="5965"/>
        <n v="5468"/>
        <n v="1029"/>
        <n v="5165"/>
        <n v="4695"/>
        <n v="5184"/>
        <n v="757"/>
        <n v="965"/>
        <n v="719"/>
        <n v="494"/>
        <n v="5751"/>
        <n v="645"/>
        <n v="627"/>
        <n v="743"/>
        <n v="873"/>
        <n v="2306"/>
        <n v="2136"/>
        <n v="2530"/>
        <n v="1858"/>
        <n v="1675"/>
        <n v="1940"/>
        <n v="2249"/>
        <n v="17115"/>
        <n v="17088"/>
        <n v="16285"/>
        <n v="14043"/>
        <n v="16110"/>
        <n v="15804"/>
        <n v="17808"/>
        <n v="21384"/>
        <n v="21427"/>
        <n v="20325"/>
        <n v="18066"/>
        <n v="22403"/>
        <n v="20449"/>
        <n v="20247"/>
        <n v="21862"/>
        <n v="4951"/>
        <n v="4857"/>
        <n v="4722"/>
        <n v="4150"/>
        <n v="25828"/>
        <n v="4885"/>
        <n v="4285"/>
        <n v="4862"/>
        <n v="2430"/>
        <n v="2861"/>
        <n v="2531"/>
        <n v="1916"/>
        <n v="5672"/>
        <n v="1993"/>
        <n v="2255"/>
        <n v="1203"/>
        <n v="1268"/>
        <n v="1185"/>
        <n v="925"/>
        <n v="980"/>
        <n v="809"/>
        <n v="903"/>
        <n v="1019"/>
        <n v="684"/>
        <n v="1296"/>
        <n v="729"/>
        <n v="688"/>
        <n v="1873"/>
        <n v="1859"/>
        <n v="1527"/>
        <n v="981"/>
        <n v="1741"/>
        <n v="1635"/>
        <n v="1780"/>
        <n v="2064"/>
        <n v="13942"/>
        <n v="14050"/>
        <n v="12299"/>
        <n v="11100"/>
        <n v="12460"/>
        <n v="11935"/>
        <n v="13544"/>
        <n v="13091"/>
        <n v="13014"/>
        <n v="11864"/>
        <n v="10570"/>
        <n v="14507"/>
        <n v="12012"/>
        <n v="11194"/>
        <n v="12791"/>
        <n v="14031"/>
        <n v="409"/>
        <n v="985"/>
        <n v="864"/>
        <n v="834"/>
        <n v="817"/>
        <n v="962"/>
        <n v="237"/>
        <n v="491"/>
        <n v="500"/>
        <n v="1014"/>
        <n v="923"/>
      </sharedItems>
    </cacheField>
    <cacheField name="Количество клиентов" numFmtId="0">
      <sharedItems containsSemiMixedTypes="0" containsString="0" containsNumber="1" containsInteger="1" minValue="0" maxValue="23974" count="482">
        <n v="368"/>
        <n v="409"/>
        <n v="390"/>
        <n v="1947"/>
        <n v="1704"/>
        <n v="1705"/>
        <n v="1568"/>
        <n v="1372"/>
        <n v="1528"/>
        <n v="1534"/>
        <n v="1863"/>
        <n v="1633"/>
        <n v="1516"/>
        <n v="1626"/>
        <n v="1767"/>
        <n v="1604"/>
        <n v="1404"/>
        <n v="1554"/>
        <n v="1373"/>
        <n v="1632"/>
        <n v="2146"/>
        <n v="1914"/>
        <n v="1552"/>
        <n v="1846"/>
        <n v="1492"/>
        <n v="1405"/>
        <n v="1829"/>
        <n v="2085"/>
        <n v="2376"/>
        <n v="1736"/>
        <n v="5177"/>
        <n v="5024"/>
        <n v="4843"/>
        <n v="4220"/>
        <n v="4596"/>
        <n v="4985"/>
        <n v="3823"/>
        <n v="5119"/>
        <n v="5564"/>
        <n v="4470"/>
        <n v="4868"/>
        <n v="5258"/>
        <n v="4800"/>
        <n v="5096"/>
        <n v="4853"/>
        <n v="4762"/>
        <n v="4348"/>
        <n v="5801"/>
        <n v="4841"/>
        <n v="4737"/>
        <n v="5093"/>
        <n v="4266"/>
        <n v="4527"/>
        <n v="4683"/>
        <n v="672"/>
        <n v="568"/>
        <n v="513"/>
        <n v="559"/>
        <n v="396"/>
        <n v="433"/>
        <n v="341"/>
        <n v="601"/>
        <n v="472"/>
        <n v="448"/>
        <n v="591"/>
        <n v="654"/>
        <n v="437"/>
        <n v="506"/>
        <n v="530"/>
        <n v="5367"/>
        <n v="333"/>
        <n v="6264"/>
        <n v="734"/>
        <n v="4969"/>
        <n v="642"/>
        <n v="376"/>
        <n v="556"/>
        <n v="547"/>
        <n v="486"/>
        <n v="557"/>
        <n v="655"/>
        <n v="763"/>
        <n v="697"/>
        <n v="1844"/>
        <n v="1799"/>
        <n v="1660"/>
        <n v="1635"/>
        <n v="1403"/>
        <n v="1369"/>
        <n v="1048"/>
        <n v="1790"/>
        <n v="1291"/>
        <n v="1460"/>
        <n v="1724"/>
        <n v="1690"/>
        <n v="1245"/>
        <n v="1265"/>
        <n v="1444"/>
        <n v="1234"/>
        <n v="1323"/>
        <n v="1993"/>
        <n v="1791"/>
        <n v="1322"/>
        <n v="1649"/>
        <n v="1340"/>
        <n v="1338"/>
        <n v="1803"/>
        <n v="1826"/>
        <n v="2178"/>
        <n v="1848"/>
        <n v="16631"/>
        <n v="15102"/>
        <n v="14685"/>
        <n v="15169"/>
        <n v="15310"/>
        <n v="16077"/>
        <n v="12920"/>
        <n v="15355"/>
        <n v="15570"/>
        <n v="15322"/>
        <n v="15223"/>
        <n v="15919"/>
        <n v="14501"/>
        <n v="15320"/>
        <n v="14315"/>
        <n v="14624"/>
        <n v="15197"/>
        <n v="18325"/>
        <n v="14753"/>
        <n v="15285"/>
        <n v="18857"/>
        <n v="13512"/>
        <n v="15345"/>
        <n v="20635"/>
        <n v="19338"/>
        <n v="18721"/>
        <n v="18617"/>
        <n v="18964"/>
        <n v="20160"/>
        <n v="15601"/>
        <n v="19673"/>
        <n v="18845"/>
        <n v="19651"/>
        <n v="19358"/>
        <n v="20155"/>
        <n v="17541"/>
        <n v="19479"/>
        <n v="18573"/>
        <n v="16052"/>
        <n v="17420"/>
        <n v="18711"/>
        <n v="18647"/>
        <n v="22609"/>
        <n v="15289"/>
        <n v="18890"/>
        <n v="20625"/>
        <n v="18884"/>
        <n v="22641"/>
        <n v="16675"/>
        <n v="19556"/>
        <n v="4867"/>
        <n v="4716"/>
        <n v="4554"/>
        <n v="4959"/>
        <n v="4149"/>
        <n v="4561"/>
        <n v="3147"/>
        <n v="4424"/>
        <n v="4916"/>
        <n v="4088"/>
        <n v="4452"/>
        <n v="5384"/>
        <n v="4206"/>
        <n v="4560"/>
        <n v="4583"/>
        <n v="19869"/>
        <n v="4370"/>
        <n v="22469"/>
        <n v="4025"/>
        <n v="5212"/>
        <n v="19342"/>
        <n v="4274"/>
        <n v="4715"/>
        <n v="5277"/>
        <n v="3867"/>
        <n v="4426"/>
        <n v="4562"/>
        <n v="2213"/>
        <n v="2053"/>
        <n v="1883"/>
        <n v="1709"/>
        <n v="1638"/>
        <n v="1457"/>
        <n v="2215"/>
        <n v="2221"/>
        <n v="1745"/>
        <n v="2126"/>
        <n v="2202"/>
        <n v="1596"/>
        <n v="1681"/>
        <n v="1876"/>
        <n v="4848"/>
        <n v="1561"/>
        <n v="6122"/>
        <n v="1570"/>
        <n v="2226"/>
        <n v="4475"/>
        <n v="2142"/>
        <n v="1586"/>
        <n v="1921"/>
        <n v="1755"/>
        <n v="1695"/>
        <n v="2061"/>
        <n v="2295"/>
        <n v="2539"/>
        <n v="2239"/>
        <n v="992"/>
        <n v="900"/>
        <n v="856"/>
        <n v="740"/>
        <n v="647"/>
        <n v="695"/>
        <n v="651"/>
        <n v="1016"/>
        <n v="888"/>
        <n v="743"/>
        <n v="930"/>
        <n v="938"/>
        <n v="823"/>
        <n v="690"/>
        <n v="795"/>
        <n v="696"/>
        <n v="733"/>
        <n v="1155"/>
        <n v="1020"/>
        <n v="691"/>
        <n v="848"/>
        <n v="768"/>
        <n v="703"/>
        <n v="1001"/>
        <n v="827"/>
        <n v="535"/>
        <n v="315"/>
        <n v="1450"/>
        <n v="203"/>
        <n v="711"/>
        <n v="225"/>
        <n v="538"/>
        <n v="652"/>
        <n v="664"/>
        <n v="381"/>
        <n v="1368"/>
        <n v="515"/>
        <n v="1054"/>
        <n v="384"/>
        <n v="1499"/>
        <n v="389"/>
        <n v="725"/>
        <n v="968"/>
        <n v="736"/>
        <n v="195"/>
        <n v="608"/>
        <n v="412"/>
        <n v="398"/>
        <n v="673"/>
        <n v="1868"/>
        <n v="1667"/>
        <n v="1412"/>
        <n v="1346"/>
        <n v="1080"/>
        <n v="1655"/>
        <n v="1454"/>
        <n v="1505"/>
        <n v="1678"/>
        <n v="1482"/>
        <n v="1447"/>
        <n v="802"/>
        <n v="1192"/>
        <n v="918"/>
        <n v="1374"/>
        <n v="1999"/>
        <n v="762"/>
        <n v="1738"/>
        <n v="1506"/>
        <n v="1680"/>
        <n v="1380"/>
        <n v="1435"/>
        <n v="1706"/>
        <n v="12251"/>
        <n v="12072"/>
        <n v="1879"/>
        <n v="1957"/>
        <n v="1701"/>
        <n v="13118"/>
        <n v="12987"/>
        <n v="10989"/>
        <n v="11137"/>
        <n v="13432"/>
        <n v="11884"/>
        <n v="11477"/>
        <n v="14299"/>
        <n v="13873"/>
        <n v="11194"/>
        <n v="13002"/>
        <n v="12834"/>
        <n v="12486"/>
        <n v="11532"/>
        <n v="11245"/>
        <n v="14163"/>
        <n v="16010"/>
        <n v="12056"/>
        <n v="12255"/>
        <n v="13566"/>
        <n v="13106"/>
        <n v="12517"/>
        <n v="11916"/>
        <n v="12299"/>
        <n v="12244"/>
        <n v="10467"/>
        <n v="10492"/>
        <n v="12697"/>
        <n v="10754"/>
        <n v="13510"/>
        <n v="13026"/>
        <n v="10862"/>
        <n v="12360"/>
        <n v="12428"/>
        <n v="11887"/>
        <n v="10803"/>
        <n v="12690"/>
        <n v="13751"/>
        <n v="13956"/>
        <n v="12518"/>
        <n v="15065"/>
        <n v="11954"/>
        <n v="11519"/>
        <n v="11865"/>
        <n v="12864"/>
        <n v="12604"/>
        <n v="11858"/>
        <n v="11427"/>
        <n v="575"/>
        <n v="12164"/>
        <n v="13551"/>
        <n v="11582"/>
        <n v="818"/>
        <n v="757"/>
        <n v="746"/>
        <n v="570"/>
        <n v="493"/>
        <n v="625"/>
        <n v="659"/>
        <n v="786"/>
        <n v="794"/>
        <n v="658"/>
        <n v="756"/>
        <n v="502"/>
        <n v="611"/>
        <n v="887"/>
        <n v="550"/>
        <n v="609"/>
        <n v="904"/>
        <n v="804"/>
        <n v="370"/>
        <n v="255"/>
        <n v="449"/>
        <n v="329"/>
        <n v="347"/>
        <n v="1893"/>
        <n v="1853"/>
        <n v="188"/>
        <n v="1101"/>
        <n v="911"/>
        <n v="1548"/>
        <n v="1742"/>
        <n v="1849"/>
        <n v="447"/>
        <n v="1917"/>
        <n v="4977"/>
        <n v="5533"/>
        <n v="5081"/>
        <n v="925"/>
        <n v="4483"/>
        <n v="4813"/>
        <n v="4372"/>
        <n v="4778"/>
        <n v="660"/>
        <n v="861"/>
        <n v="627"/>
        <n v="421"/>
        <n v="5319"/>
        <n v="565"/>
        <n v="545"/>
        <n v="770"/>
        <n v="1856"/>
        <n v="2054"/>
        <n v="1899"/>
        <n v="2270"/>
        <n v="1648"/>
        <n v="1475"/>
        <n v="1715"/>
        <n v="2000"/>
        <n v="15962"/>
        <n v="15804"/>
        <n v="15130"/>
        <n v="13167"/>
        <n v="14992"/>
        <n v="14738"/>
        <n v="16486"/>
        <n v="19897"/>
        <n v="19799"/>
        <n v="18935"/>
        <n v="16883"/>
        <n v="20676"/>
        <n v="19060"/>
        <n v="18812"/>
        <n v="20235"/>
        <n v="4584"/>
        <n v="4456"/>
        <n v="4352"/>
        <n v="3838"/>
        <n v="23974"/>
        <n v="4502"/>
        <n v="3950"/>
        <n v="4476"/>
        <n v="2216"/>
        <n v="2612"/>
        <n v="2296"/>
        <n v="1733"/>
        <n v="5198"/>
        <n v="1796"/>
        <n v="2045"/>
        <n v="2379"/>
        <n v="1077"/>
        <n v="1129"/>
        <n v="1042"/>
        <n v="714"/>
        <n v="816"/>
        <n v="777"/>
        <n v="867"/>
        <n v="702"/>
        <n v="792"/>
        <n v="895"/>
        <n v="585"/>
        <n v="1153"/>
        <n v="636"/>
        <n v="548"/>
        <n v="598"/>
        <n v="1697"/>
        <n v="1720"/>
        <n v="1389"/>
        <n v="859"/>
        <n v="1597"/>
        <n v="1487"/>
        <n v="1615"/>
        <n v="1896"/>
        <n v="12986"/>
        <n v="13027"/>
        <n v="11448"/>
        <n v="10407"/>
        <n v="11665"/>
        <n v="11178"/>
        <n v="12643"/>
        <n v="12216"/>
        <n v="12095"/>
        <n v="11071"/>
        <n v="9926"/>
        <n v="13386"/>
        <n v="11308"/>
        <n v="10554"/>
        <n v="11950"/>
        <n v="12943"/>
        <n v="224"/>
        <n v="564"/>
        <n v="765"/>
        <n v="735"/>
        <n v="718"/>
        <n v="175"/>
        <n v="411"/>
        <n v="418"/>
        <n v="893"/>
        <n v="824"/>
      </sharedItems>
    </cacheField>
    <cacheField name="Товарооборот на склад" numFmtId="0">
      <sharedItems containsSemiMixedTypes="0" containsString="0" containsNumber="1" minValue="0" maxValue="496419" count="504">
        <n v="41598.1"/>
        <n v="52473.4"/>
        <n v="42929.6"/>
        <n v="161709.142857143"/>
        <n v="131957.928571429"/>
        <n v="137259.928571429"/>
        <n v="134810.428571429"/>
        <n v="118615.5"/>
        <n v="145748.916666667"/>
        <n v="150624.833333333"/>
        <n v="148516.5"/>
        <n v="168403"/>
        <n v="123608.5"/>
        <n v="130684.857142857"/>
        <n v="139491.928571429"/>
        <n v="145338.15"/>
        <n v="133977.083333333"/>
        <n v="125227.714285714"/>
        <n v="121745.7"/>
        <n v="146931.15"/>
        <n v="172796.5"/>
        <n v="158829"/>
        <n v="148273.5"/>
        <n v="157760.357142857"/>
        <n v="125960"/>
        <n v="117724.428571429"/>
        <n v="146237.325"/>
        <n v="165423.571428571"/>
        <n v="196089.225"/>
        <n v="141388.65"/>
        <n v="244637.370967742"/>
        <n v="219855.193548387"/>
        <n v="218546.661290323"/>
        <n v="202094.612903226"/>
        <n v="214266.096774194"/>
        <n v="231628.983870968"/>
        <n v="179167.5"/>
        <n v="215369.661290323"/>
        <n v="286871.758064516"/>
        <n v="206398.741935484"/>
        <n v="213995.080645161"/>
        <n v="233792.758064516"/>
        <n v="223268.274193548"/>
        <n v="231085.306451613"/>
        <n v="225611.370967742"/>
        <n v="226247.419354839"/>
        <n v="198988.935483871"/>
        <n v="260940.096774194"/>
        <n v="214374.290322581"/>
        <n v="226571.85483871"/>
        <n v="241393.35483871"/>
        <n v="203025.048387097"/>
        <n v="212641.403225806"/>
        <n v="208097.806451613"/>
        <n v="113050.65"/>
        <n v="93876.45"/>
        <n v="84372.75"/>
        <n v="104640"/>
        <n v="72889.05"/>
        <n v="79791.9"/>
        <n v="61788.15"/>
        <n v="98310.9"/>
        <n v="89113.95"/>
        <n v="73296.45"/>
        <n v="93552.3"/>
        <n v="103724.7"/>
        <n v="79332"/>
        <n v="86998.35"/>
        <n v="86571.45"/>
        <n v="242343.435483871"/>
        <n v="63788.1"/>
        <n v="295635.725806452"/>
        <n v="69683.25"/>
        <n v="124138.35"/>
        <n v="214244.177419355"/>
        <n v="103044"/>
        <n v="71619.6"/>
        <n v="100478.85"/>
        <n v="95970.3"/>
        <n v="86375.4"/>
        <n v="82898.4"/>
        <n v="104551.5"/>
        <n v="126048.3"/>
        <n v="111455.25"/>
        <n v="169606.184210526"/>
        <n v="150807.236842105"/>
        <n v="141804.710526316"/>
        <n v="152745.631578947"/>
        <n v="128998.342105263"/>
        <n v="133199.333333333"/>
        <n v="94696.3421052632"/>
        <n v="145370.55"/>
        <n v="124966.105263158"/>
        <n v="124759.578947368"/>
        <n v="150167.447368421"/>
        <n v="141696.315789474"/>
        <n v="109468.421052632"/>
        <n v="125695.147058824"/>
        <n v="124912.5"/>
        <n v="114226.815789474"/>
        <n v="117501"/>
        <n v="169268.625"/>
        <n v="143286.375"/>
        <n v="119350.736842105"/>
        <n v="150647.289473684"/>
        <n v="119550.236842105"/>
        <n v="123719.605263158"/>
        <n v="145776.675"/>
        <n v="149599.95"/>
        <n v="182708.325"/>
        <n v="150210.675"/>
        <n v="249890.418604651"/>
        <n v="210028.093023256"/>
        <n v="206666.127906977"/>
        <n v="230761.23255814"/>
        <n v="227580.930232558"/>
        <n v="241166.30859375"/>
        <n v="188697.802325581"/>
        <n v="216066.805417442"/>
        <n v="240723.38372093"/>
        <n v="225135.813953488"/>
        <n v="215913.953488372"/>
        <n v="227664.896259302"/>
        <n v="211460.784069767"/>
        <n v="227804.94140625"/>
        <n v="205174.058139535"/>
        <n v="220364.348837209"/>
        <n v="223029.535702326"/>
        <n v="272123.462880233"/>
        <n v="210588.476744186"/>
        <n v="251309.139534884"/>
        <n v="228962.605473256"/>
        <n v="295283.38372093"/>
        <n v="196319.930232558"/>
        <n v="218515.76744186"/>
        <n v="338589.048"/>
        <n v="296185.944"/>
        <n v="294676.536"/>
        <n v="309547.416"/>
        <n v="307255.632"/>
        <n v="332475.072"/>
        <n v="254749.896"/>
        <n v="309402.907258065"/>
        <n v="320617.548"/>
        <n v="316628.616"/>
        <n v="303217.25256"/>
        <n v="317114.472"/>
        <n v="285373.872"/>
        <n v="319344.228"/>
        <n v="297576.924"/>
        <n v="227347.023255814"/>
        <n v="293055.996"/>
        <n v="276934.058139535"/>
        <n v="304738.752"/>
        <n v="371264.64"/>
        <n v="218224.843023256"/>
        <n v="297447"/>
        <n v="344229.876"/>
        <n v="312087"/>
        <n v="392985.444"/>
        <n v="270111.912"/>
        <n v="305531.052"/>
        <n v="184782.75"/>
        <n v="171485.083333333"/>
        <n v="165355.625"/>
        <n v="201484.083333333"/>
        <n v="154484.791666667"/>
        <n v="179290.5"/>
        <n v="114395.875"/>
        <n v="162916.375"/>
        <n v="195339.583333333"/>
        <n v="153420.708333333"/>
        <n v="162891.25"/>
        <n v="197831.833333333"/>
        <n v="160292.75"/>
        <n v="174673.5"/>
        <n v="175939.666666667"/>
        <n v="317582.080645161"/>
        <n v="172814.458333333"/>
        <n v="373958.903225806"/>
        <n v="151503.375"/>
        <n v="199253.25"/>
        <n v="306029.745967742"/>
        <n v="158462.5"/>
        <n v="189433.166666667"/>
        <n v="214613.041666667"/>
        <n v="149047.458333333"/>
        <n v="171551.041666667"/>
        <n v="169395.458333333"/>
        <n v="191673.714285714"/>
        <n v="169187.5"/>
        <n v="151959.785714286"/>
        <n v="146899.642857143"/>
        <n v="140892.675"/>
        <n v="138294.473684211"/>
        <n v="123523.275"/>
        <n v="176205.285714286"/>
        <n v="214662.075"/>
        <n v="146695.928571429"/>
        <n v="181447.357142857"/>
        <n v="186618.428571429"/>
        <n v="132434.4"/>
        <n v="150715.815789474"/>
        <n v="156574.714285714"/>
        <n v="175698.608108108"/>
        <n v="136000.125"/>
        <n v="245902.337837838"/>
        <n v="136906.35"/>
        <n v="184915"/>
        <n v="164917.054054054"/>
        <n v="169602.642857143"/>
        <n v="142665.525"/>
        <n v="169004.642857143"/>
        <n v="152445.642857143"/>
        <n v="139738.285714286"/>
        <n v="164252.5"/>
        <n v="173658.847826087"/>
        <n v="202565.522727273"/>
        <n v="176985.477272727"/>
        <n v="106761.7"/>
        <n v="85302.9375"/>
        <n v="91838.5"/>
        <n v="81528.8"/>
        <n v="72347.4"/>
        <n v="74399.5"/>
        <n v="70214.7"/>
        <n v="87596.0294117647"/>
        <n v="97722.8"/>
        <n v="74922"/>
        <n v="81220.6764705882"/>
        <n v="89390.90625"/>
        <n v="92278.6"/>
        <n v="73525.8"/>
        <n v="82900.5"/>
        <n v="74667.3"/>
        <n v="81403.8"/>
        <n v="109058.911764706"/>
        <n v="88698.0882352941"/>
        <n v="73537.9"/>
        <n v="98102.5"/>
        <n v="84652.4"/>
        <n v="74926.3"/>
        <n v="91064.6470588235"/>
        <n v="81002.2"/>
        <n v="93536.5"/>
        <n v="70699.3"/>
        <n v="72081.1"/>
        <n v="40723.7"/>
        <n v="131161.916666667"/>
        <n v="28882.9"/>
        <n v="76803.6"/>
        <n v="33704.8"/>
        <n v="65975.5"/>
        <n v="73574.9"/>
        <n v="73657.2"/>
        <n v="46306.2"/>
        <n v="126504"/>
        <n v="63327.5"/>
        <n v="93654.0882352941"/>
        <n v="44353.5"/>
        <n v="144544.235294118"/>
        <n v="49286.1"/>
        <n v="87671.7"/>
        <n v="87525.1764705882"/>
        <n v="82045.8"/>
        <n v="26979.4"/>
        <n v="79885.7"/>
        <n v="53250.6"/>
        <n v="51285.1"/>
        <n v="78991"/>
        <n v="153835.973684211"/>
        <n v="128764.736842105"/>
        <n v="128191.184210526"/>
        <n v="125523"/>
        <n v="113456.210526316"/>
        <n v="88571.1315789474"/>
        <n v="120540.15"/>
        <n v="166763.684210526"/>
        <n v="118061.052631579"/>
        <n v="115733.447368421"/>
        <n v="132671.526315789"/>
        <n v="125280.710526316"/>
        <n v="119139.552631579"/>
        <n v="83549.34375"/>
        <n v="100345.105263158"/>
        <n v="100568.15625"/>
        <n v="113650.026315789"/>
        <n v="162586.342105263"/>
        <n v="77484.1875"/>
        <n v="125640.15"/>
        <n v="134741.052631579"/>
        <n v="145645.815789474"/>
        <n v="117682.105263158"/>
        <n v="121491.394736842"/>
        <n v="132995.210526316"/>
        <n v="366361.576271186"/>
        <n v="357879.63559322"/>
        <n v="133063.071428571"/>
        <n v="150266.7"/>
        <n v="127960.575"/>
        <n v="394823.05"/>
        <n v="365764.3"/>
        <n v="325773.1"/>
        <n v="325739.516949153"/>
        <n v="411732.508474576"/>
        <n v="386507.25"/>
        <n v="332633.288135593"/>
        <n v="426498.838983051"/>
        <n v="430734.762711864"/>
        <n v="320086.325"/>
        <n v="370888.25"/>
        <n v="365988.1"/>
        <n v="371515.855932203"/>
        <n v="370430.805555556"/>
        <n v="323954.55"/>
        <n v="449021.669491525"/>
        <n v="390389.694915254"/>
        <n v="476515.175"/>
        <n v="348860.059322034"/>
        <n v="381864.406779661"/>
        <n v="421871.262711864"/>
        <n v="404778.788135593"/>
        <n v="380680.169491525"/>
        <n v="332663.35"/>
        <n v="413987.75"/>
        <n v="381297.638888889"/>
        <n v="341649.833333333"/>
        <n v="334922.194444444"/>
        <n v="422163.472222222"/>
        <n v="344924.472222222"/>
        <n v="441784.166666667"/>
        <n v="443584"/>
        <n v="346630.305555556"/>
        <n v="389679.138888889"/>
        <n v="396506.472222222"/>
        <n v="386669.305555556"/>
        <n v="347851.861111111"/>
        <n v="365852.822033898"/>
        <n v="472575.416666667"/>
        <n v="415716.025423729"/>
        <n v="409748.972222222"/>
        <n v="496419"/>
        <n v="342262.225"/>
        <n v="366794.944444444"/>
        <n v="402601.111111111"/>
        <n v="434143.055555556"/>
        <n v="423075.527777778"/>
        <n v="397463.388888889"/>
        <n v="353168.833333333"/>
        <n v="65434.6"/>
        <n v="66169.4"/>
        <n v="383652.75"/>
        <n v="447258.888888889"/>
        <n v="362019.194444444"/>
        <n v="82271.90625"/>
        <n v="66282.9705882353"/>
        <n v="72345.5625"/>
        <n v="63720.1"/>
        <n v="60422.9"/>
        <n v="54457.3"/>
        <n v="119116.5"/>
        <n v="75629.6"/>
        <n v="72818.5"/>
        <n v="65143"/>
        <n v="71632.3235294118"/>
        <n v="76371.7"/>
        <n v="78179.4"/>
        <n v="54410"/>
        <n v="67771.1"/>
        <n v="80966.1666666667"/>
        <n v="73705.8333333333"/>
        <n v="66967.4"/>
        <n v="81103.8"/>
        <n v="69789.9"/>
        <n v="64392"/>
        <n v="77014.5833333333"/>
        <n v="67247.5833333333"/>
        <n v="42423"/>
        <n v="54877"/>
        <n v="132667.928571429"/>
        <n v="43415.8"/>
        <n v="99238.5"/>
        <n v="150787.575"/>
        <n v="147193.785714286"/>
        <n v="78139.25"/>
        <n v="118066.5"/>
        <n v="98508.5833333333"/>
        <n v="77080.1666666667"/>
        <n v="134589.5"/>
        <n v="128720.571428571"/>
        <n v="144680.642857143"/>
        <n v="140239.785714286"/>
        <n v="123717.642857143"/>
        <n v="159658.35"/>
        <n v="216163.983870968"/>
        <n v="249305.322580645"/>
        <n v="220320.048387097"/>
        <n v="79078.3333333333"/>
        <n v="206410.306451613"/>
        <n v="213216.580645161"/>
        <n v="195279"/>
        <n v="221821.112903226"/>
        <n v="105479.85"/>
        <n v="145504.95"/>
        <n v="100774.2"/>
        <n v="73433.55"/>
        <n v="238294.064516129"/>
        <n v="93642.75"/>
        <n v="98156.4"/>
        <n v="115057.95"/>
        <n v="127346.4"/>
        <n v="146206.65"/>
        <n v="170709"/>
        <n v="150675.6"/>
        <n v="205893.631578947"/>
        <n v="136218.315789474"/>
        <n v="128501.052631579"/>
        <n v="155214.631578947"/>
        <n v="162902.7"/>
        <n v="226798.395348837"/>
        <n v="228416.813953488"/>
        <n v="216953.84765625"/>
        <n v="190916.536619767"/>
        <n v="213451.815097674"/>
        <n v="218459.627906977"/>
        <n v="250808.76744186"/>
        <n v="314797.27016129"/>
        <n v="315986.988"/>
        <n v="302909.269767073"/>
        <n v="270252.648"/>
        <n v="323776.279883721"/>
        <n v="295015.104"/>
        <n v="303705.204"/>
        <n v="338171.016"/>
        <n v="166274.833333333"/>
        <n v="165096.916666667"/>
        <n v="156764.594594595"/>
        <n v="143838.041666667"/>
        <n v="436871.201612903"/>
        <n v="161068.791666667"/>
        <n v="149072.291666667"/>
        <n v="174832"/>
        <n v="180040.571428571"/>
        <n v="230515.857142857"/>
        <n v="168054.391304348"/>
        <n v="146649.071428571"/>
        <n v="195362.027027027"/>
        <n v="160006.428571429"/>
        <n v="150784.714285714"/>
        <n v="179631.357142857"/>
        <n v="186754.363636364"/>
        <n v="94299.0882352941"/>
        <n v="104372.294117647"/>
        <n v="89800.5"/>
        <n v="73066.8"/>
        <n v="77885.15625"/>
        <n v="81566.1"/>
        <n v="91365.5"/>
        <n v="80763.8"/>
        <n v="94127.3"/>
        <n v="97852.03125"/>
        <n v="72077.2"/>
        <n v="103804.058823529"/>
        <n v="74343.1"/>
        <n v="64233.5"/>
        <n v="74848.7"/>
        <n v="122927.775"/>
        <n v="133721.842105263"/>
        <n v="120903.214285714"/>
        <n v="113913.947368421"/>
        <n v="96813.75"/>
        <n v="122341.578947368"/>
        <n v="117123.236842105"/>
        <n v="130394.052631579"/>
        <n v="142737.075"/>
        <n v="378683.059322034"/>
        <n v="373012.875"/>
        <n v="329921.56779661"/>
        <n v="298652.4"/>
        <n v="340373.925"/>
        <n v="332373.925"/>
        <n v="384753.7"/>
        <n v="388024.527777778"/>
        <n v="385418.25"/>
        <n v="350262.861111111"/>
        <n v="314282.055555556"/>
        <n v="391871.923728814"/>
        <n v="367687.444444444"/>
        <n v="345203.666666667"/>
        <n v="405468.416666667"/>
        <n v="415113.916666667"/>
        <n v="98240.5714285714"/>
        <n v="77709.5"/>
        <n v="43223.6666666667"/>
        <n v="58690.4"/>
        <n v="76919.4375"/>
        <n v="70729.78125"/>
        <n v="68190"/>
        <n v="75011.0833333333"/>
        <n v="68482"/>
        <n v="121548.642857143"/>
        <n v="114635.357142857"/>
        <n v="79903.0833333333"/>
        <n v="71845.5"/>
      </sharedItems>
    </cacheField>
    <cacheField name="Неделя" numFmtId="0">
      <sharedItems containsSemiMixedTypes="0" containsString="0" containsNumber="1" containsInteger="1" minValue="0" maxValue="23" count="6">
        <n v="22"/>
        <n v="20"/>
        <n v="21"/>
        <n v="19"/>
        <n v="18"/>
        <n v="2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x v="0"/>
    <x v="0"/>
    <x v="0"/>
    <x v="0"/>
    <x v="0"/>
    <x v="0"/>
    <x v="0"/>
    <x v="0"/>
    <x v="0"/>
  </r>
  <r>
    <x v="1"/>
    <x v="0"/>
    <x v="1"/>
    <x v="1"/>
    <x v="0"/>
    <x v="1"/>
    <x v="1"/>
    <x v="1"/>
    <x v="0"/>
  </r>
  <r>
    <x v="2"/>
    <x v="0"/>
    <x v="2"/>
    <x v="2"/>
    <x v="0"/>
    <x v="2"/>
    <x v="2"/>
    <x v="2"/>
    <x v="0"/>
  </r>
  <r>
    <x v="3"/>
    <x v="1"/>
    <x v="3"/>
    <x v="3"/>
    <x v="1"/>
    <x v="3"/>
    <x v="3"/>
    <x v="3"/>
    <x v="1"/>
  </r>
  <r>
    <x v="4"/>
    <x v="1"/>
    <x v="4"/>
    <x v="4"/>
    <x v="1"/>
    <x v="4"/>
    <x v="4"/>
    <x v="4"/>
    <x v="2"/>
  </r>
  <r>
    <x v="5"/>
    <x v="1"/>
    <x v="5"/>
    <x v="5"/>
    <x v="1"/>
    <x v="5"/>
    <x v="5"/>
    <x v="5"/>
    <x v="1"/>
  </r>
  <r>
    <x v="6"/>
    <x v="1"/>
    <x v="6"/>
    <x v="6"/>
    <x v="1"/>
    <x v="6"/>
    <x v="6"/>
    <x v="6"/>
    <x v="3"/>
  </r>
  <r>
    <x v="7"/>
    <x v="1"/>
    <x v="7"/>
    <x v="7"/>
    <x v="2"/>
    <x v="7"/>
    <x v="7"/>
    <x v="7"/>
    <x v="3"/>
  </r>
  <r>
    <x v="8"/>
    <x v="1"/>
    <x v="8"/>
    <x v="8"/>
    <x v="3"/>
    <x v="8"/>
    <x v="8"/>
    <x v="8"/>
    <x v="4"/>
  </r>
  <r>
    <x v="9"/>
    <x v="1"/>
    <x v="9"/>
    <x v="9"/>
    <x v="3"/>
    <x v="9"/>
    <x v="9"/>
    <x v="9"/>
    <x v="4"/>
  </r>
  <r>
    <x v="10"/>
    <x v="1"/>
    <x v="10"/>
    <x v="10"/>
    <x v="2"/>
    <x v="10"/>
    <x v="10"/>
    <x v="10"/>
    <x v="0"/>
  </r>
  <r>
    <x v="11"/>
    <x v="1"/>
    <x v="11"/>
    <x v="11"/>
    <x v="3"/>
    <x v="11"/>
    <x v="11"/>
    <x v="11"/>
    <x v="4"/>
  </r>
  <r>
    <x v="12"/>
    <x v="1"/>
    <x v="12"/>
    <x v="12"/>
    <x v="1"/>
    <x v="12"/>
    <x v="12"/>
    <x v="12"/>
    <x v="1"/>
  </r>
  <r>
    <x v="13"/>
    <x v="1"/>
    <x v="13"/>
    <x v="13"/>
    <x v="1"/>
    <x v="13"/>
    <x v="13"/>
    <x v="13"/>
    <x v="2"/>
  </r>
  <r>
    <x v="14"/>
    <x v="1"/>
    <x v="14"/>
    <x v="14"/>
    <x v="1"/>
    <x v="14"/>
    <x v="14"/>
    <x v="14"/>
    <x v="2"/>
  </r>
  <r>
    <x v="15"/>
    <x v="1"/>
    <x v="15"/>
    <x v="15"/>
    <x v="2"/>
    <x v="15"/>
    <x v="15"/>
    <x v="15"/>
    <x v="3"/>
  </r>
  <r>
    <x v="16"/>
    <x v="1"/>
    <x v="16"/>
    <x v="16"/>
    <x v="3"/>
    <x v="16"/>
    <x v="16"/>
    <x v="16"/>
    <x v="4"/>
  </r>
  <r>
    <x v="17"/>
    <x v="1"/>
    <x v="17"/>
    <x v="17"/>
    <x v="1"/>
    <x v="17"/>
    <x v="17"/>
    <x v="17"/>
    <x v="1"/>
  </r>
  <r>
    <x v="18"/>
    <x v="1"/>
    <x v="18"/>
    <x v="18"/>
    <x v="2"/>
    <x v="18"/>
    <x v="18"/>
    <x v="18"/>
    <x v="4"/>
  </r>
  <r>
    <x v="19"/>
    <x v="1"/>
    <x v="19"/>
    <x v="19"/>
    <x v="2"/>
    <x v="19"/>
    <x v="19"/>
    <x v="19"/>
    <x v="3"/>
  </r>
  <r>
    <x v="20"/>
    <x v="1"/>
    <x v="20"/>
    <x v="20"/>
    <x v="1"/>
    <x v="20"/>
    <x v="20"/>
    <x v="20"/>
    <x v="2"/>
  </r>
  <r>
    <x v="21"/>
    <x v="1"/>
    <x v="21"/>
    <x v="21"/>
    <x v="2"/>
    <x v="21"/>
    <x v="21"/>
    <x v="21"/>
    <x v="0"/>
  </r>
  <r>
    <x v="22"/>
    <x v="1"/>
    <x v="22"/>
    <x v="22"/>
    <x v="4"/>
    <x v="22"/>
    <x v="22"/>
    <x v="22"/>
    <x v="4"/>
  </r>
  <r>
    <x v="23"/>
    <x v="1"/>
    <x v="23"/>
    <x v="23"/>
    <x v="1"/>
    <x v="23"/>
    <x v="23"/>
    <x v="23"/>
    <x v="3"/>
  </r>
  <r>
    <x v="24"/>
    <x v="1"/>
    <x v="24"/>
    <x v="24"/>
    <x v="1"/>
    <x v="24"/>
    <x v="24"/>
    <x v="24"/>
    <x v="3"/>
  </r>
  <r>
    <x v="25"/>
    <x v="1"/>
    <x v="25"/>
    <x v="25"/>
    <x v="1"/>
    <x v="25"/>
    <x v="25"/>
    <x v="25"/>
    <x v="3"/>
  </r>
  <r>
    <x v="26"/>
    <x v="1"/>
    <x v="26"/>
    <x v="26"/>
    <x v="2"/>
    <x v="26"/>
    <x v="26"/>
    <x v="26"/>
    <x v="2"/>
  </r>
  <r>
    <x v="0"/>
    <x v="1"/>
    <x v="27"/>
    <x v="27"/>
    <x v="1"/>
    <x v="27"/>
    <x v="27"/>
    <x v="27"/>
    <x v="0"/>
  </r>
  <r>
    <x v="1"/>
    <x v="1"/>
    <x v="28"/>
    <x v="28"/>
    <x v="2"/>
    <x v="28"/>
    <x v="28"/>
    <x v="28"/>
    <x v="0"/>
  </r>
  <r>
    <x v="2"/>
    <x v="1"/>
    <x v="29"/>
    <x v="29"/>
    <x v="2"/>
    <x v="29"/>
    <x v="29"/>
    <x v="29"/>
    <x v="0"/>
  </r>
  <r>
    <x v="3"/>
    <x v="2"/>
    <x v="30"/>
    <x v="30"/>
    <x v="5"/>
    <x v="30"/>
    <x v="30"/>
    <x v="30"/>
    <x v="1"/>
  </r>
  <r>
    <x v="4"/>
    <x v="2"/>
    <x v="31"/>
    <x v="31"/>
    <x v="5"/>
    <x v="31"/>
    <x v="31"/>
    <x v="31"/>
    <x v="2"/>
  </r>
  <r>
    <x v="5"/>
    <x v="2"/>
    <x v="32"/>
    <x v="32"/>
    <x v="5"/>
    <x v="32"/>
    <x v="32"/>
    <x v="32"/>
    <x v="1"/>
  </r>
  <r>
    <x v="6"/>
    <x v="2"/>
    <x v="33"/>
    <x v="33"/>
    <x v="5"/>
    <x v="33"/>
    <x v="33"/>
    <x v="33"/>
    <x v="3"/>
  </r>
  <r>
    <x v="7"/>
    <x v="2"/>
    <x v="34"/>
    <x v="34"/>
    <x v="5"/>
    <x v="34"/>
    <x v="34"/>
    <x v="34"/>
    <x v="3"/>
  </r>
  <r>
    <x v="8"/>
    <x v="2"/>
    <x v="35"/>
    <x v="35"/>
    <x v="5"/>
    <x v="35"/>
    <x v="35"/>
    <x v="35"/>
    <x v="4"/>
  </r>
  <r>
    <x v="9"/>
    <x v="2"/>
    <x v="36"/>
    <x v="36"/>
    <x v="5"/>
    <x v="36"/>
    <x v="36"/>
    <x v="36"/>
    <x v="4"/>
  </r>
  <r>
    <x v="10"/>
    <x v="2"/>
    <x v="37"/>
    <x v="37"/>
    <x v="5"/>
    <x v="37"/>
    <x v="37"/>
    <x v="37"/>
    <x v="0"/>
  </r>
  <r>
    <x v="11"/>
    <x v="2"/>
    <x v="38"/>
    <x v="38"/>
    <x v="5"/>
    <x v="38"/>
    <x v="38"/>
    <x v="38"/>
    <x v="4"/>
  </r>
  <r>
    <x v="12"/>
    <x v="2"/>
    <x v="39"/>
    <x v="39"/>
    <x v="5"/>
    <x v="39"/>
    <x v="39"/>
    <x v="39"/>
    <x v="1"/>
  </r>
  <r>
    <x v="13"/>
    <x v="2"/>
    <x v="40"/>
    <x v="40"/>
    <x v="5"/>
    <x v="40"/>
    <x v="40"/>
    <x v="40"/>
    <x v="2"/>
  </r>
  <r>
    <x v="14"/>
    <x v="2"/>
    <x v="41"/>
    <x v="41"/>
    <x v="5"/>
    <x v="41"/>
    <x v="41"/>
    <x v="41"/>
    <x v="2"/>
  </r>
  <r>
    <x v="15"/>
    <x v="2"/>
    <x v="42"/>
    <x v="42"/>
    <x v="5"/>
    <x v="42"/>
    <x v="42"/>
    <x v="42"/>
    <x v="3"/>
  </r>
  <r>
    <x v="16"/>
    <x v="2"/>
    <x v="43"/>
    <x v="43"/>
    <x v="5"/>
    <x v="43"/>
    <x v="43"/>
    <x v="43"/>
    <x v="4"/>
  </r>
  <r>
    <x v="17"/>
    <x v="2"/>
    <x v="44"/>
    <x v="44"/>
    <x v="5"/>
    <x v="44"/>
    <x v="44"/>
    <x v="44"/>
    <x v="1"/>
  </r>
  <r>
    <x v="18"/>
    <x v="2"/>
    <x v="45"/>
    <x v="45"/>
    <x v="5"/>
    <x v="45"/>
    <x v="45"/>
    <x v="45"/>
    <x v="4"/>
  </r>
  <r>
    <x v="19"/>
    <x v="2"/>
    <x v="46"/>
    <x v="46"/>
    <x v="5"/>
    <x v="46"/>
    <x v="46"/>
    <x v="46"/>
    <x v="3"/>
  </r>
  <r>
    <x v="20"/>
    <x v="2"/>
    <x v="47"/>
    <x v="47"/>
    <x v="5"/>
    <x v="47"/>
    <x v="47"/>
    <x v="47"/>
    <x v="2"/>
  </r>
  <r>
    <x v="21"/>
    <x v="2"/>
    <x v="48"/>
    <x v="48"/>
    <x v="5"/>
    <x v="48"/>
    <x v="48"/>
    <x v="48"/>
    <x v="0"/>
  </r>
  <r>
    <x v="22"/>
    <x v="2"/>
    <x v="49"/>
    <x v="49"/>
    <x v="5"/>
    <x v="49"/>
    <x v="49"/>
    <x v="49"/>
    <x v="4"/>
  </r>
  <r>
    <x v="23"/>
    <x v="2"/>
    <x v="50"/>
    <x v="50"/>
    <x v="5"/>
    <x v="50"/>
    <x v="50"/>
    <x v="50"/>
    <x v="3"/>
  </r>
  <r>
    <x v="24"/>
    <x v="2"/>
    <x v="51"/>
    <x v="51"/>
    <x v="5"/>
    <x v="51"/>
    <x v="51"/>
    <x v="51"/>
    <x v="3"/>
  </r>
  <r>
    <x v="25"/>
    <x v="2"/>
    <x v="52"/>
    <x v="52"/>
    <x v="5"/>
    <x v="52"/>
    <x v="52"/>
    <x v="52"/>
    <x v="3"/>
  </r>
  <r>
    <x v="26"/>
    <x v="2"/>
    <x v="53"/>
    <x v="53"/>
    <x v="5"/>
    <x v="53"/>
    <x v="53"/>
    <x v="53"/>
    <x v="2"/>
  </r>
  <r>
    <x v="3"/>
    <x v="3"/>
    <x v="54"/>
    <x v="54"/>
    <x v="6"/>
    <x v="54"/>
    <x v="54"/>
    <x v="54"/>
    <x v="1"/>
  </r>
  <r>
    <x v="4"/>
    <x v="3"/>
    <x v="55"/>
    <x v="55"/>
    <x v="6"/>
    <x v="55"/>
    <x v="55"/>
    <x v="55"/>
    <x v="2"/>
  </r>
  <r>
    <x v="5"/>
    <x v="3"/>
    <x v="56"/>
    <x v="56"/>
    <x v="6"/>
    <x v="56"/>
    <x v="56"/>
    <x v="56"/>
    <x v="1"/>
  </r>
  <r>
    <x v="6"/>
    <x v="3"/>
    <x v="57"/>
    <x v="57"/>
    <x v="6"/>
    <x v="57"/>
    <x v="57"/>
    <x v="57"/>
    <x v="3"/>
  </r>
  <r>
    <x v="7"/>
    <x v="3"/>
    <x v="58"/>
    <x v="58"/>
    <x v="6"/>
    <x v="58"/>
    <x v="58"/>
    <x v="58"/>
    <x v="3"/>
  </r>
  <r>
    <x v="8"/>
    <x v="3"/>
    <x v="59"/>
    <x v="59"/>
    <x v="6"/>
    <x v="59"/>
    <x v="59"/>
    <x v="59"/>
    <x v="4"/>
  </r>
  <r>
    <x v="9"/>
    <x v="3"/>
    <x v="60"/>
    <x v="60"/>
    <x v="6"/>
    <x v="60"/>
    <x v="60"/>
    <x v="60"/>
    <x v="4"/>
  </r>
  <r>
    <x v="10"/>
    <x v="3"/>
    <x v="61"/>
    <x v="61"/>
    <x v="6"/>
    <x v="61"/>
    <x v="61"/>
    <x v="61"/>
    <x v="0"/>
  </r>
  <r>
    <x v="11"/>
    <x v="3"/>
    <x v="62"/>
    <x v="62"/>
    <x v="6"/>
    <x v="62"/>
    <x v="62"/>
    <x v="62"/>
    <x v="4"/>
  </r>
  <r>
    <x v="12"/>
    <x v="3"/>
    <x v="63"/>
    <x v="63"/>
    <x v="6"/>
    <x v="63"/>
    <x v="63"/>
    <x v="63"/>
    <x v="1"/>
  </r>
  <r>
    <x v="13"/>
    <x v="3"/>
    <x v="64"/>
    <x v="64"/>
    <x v="6"/>
    <x v="64"/>
    <x v="64"/>
    <x v="64"/>
    <x v="2"/>
  </r>
  <r>
    <x v="14"/>
    <x v="3"/>
    <x v="65"/>
    <x v="65"/>
    <x v="6"/>
    <x v="65"/>
    <x v="65"/>
    <x v="65"/>
    <x v="2"/>
  </r>
  <r>
    <x v="15"/>
    <x v="3"/>
    <x v="66"/>
    <x v="66"/>
    <x v="6"/>
    <x v="66"/>
    <x v="66"/>
    <x v="66"/>
    <x v="3"/>
  </r>
  <r>
    <x v="16"/>
    <x v="3"/>
    <x v="67"/>
    <x v="67"/>
    <x v="6"/>
    <x v="67"/>
    <x v="67"/>
    <x v="67"/>
    <x v="4"/>
  </r>
  <r>
    <x v="17"/>
    <x v="3"/>
    <x v="68"/>
    <x v="68"/>
    <x v="6"/>
    <x v="68"/>
    <x v="68"/>
    <x v="68"/>
    <x v="1"/>
  </r>
  <r>
    <x v="0"/>
    <x v="2"/>
    <x v="69"/>
    <x v="69"/>
    <x v="5"/>
    <x v="69"/>
    <x v="69"/>
    <x v="69"/>
    <x v="0"/>
  </r>
  <r>
    <x v="18"/>
    <x v="3"/>
    <x v="70"/>
    <x v="70"/>
    <x v="6"/>
    <x v="70"/>
    <x v="70"/>
    <x v="70"/>
    <x v="4"/>
  </r>
  <r>
    <x v="1"/>
    <x v="2"/>
    <x v="71"/>
    <x v="71"/>
    <x v="5"/>
    <x v="71"/>
    <x v="71"/>
    <x v="71"/>
    <x v="0"/>
  </r>
  <r>
    <x v="19"/>
    <x v="3"/>
    <x v="72"/>
    <x v="72"/>
    <x v="6"/>
    <x v="72"/>
    <x v="2"/>
    <x v="72"/>
    <x v="3"/>
  </r>
  <r>
    <x v="20"/>
    <x v="3"/>
    <x v="73"/>
    <x v="73"/>
    <x v="6"/>
    <x v="73"/>
    <x v="72"/>
    <x v="73"/>
    <x v="2"/>
  </r>
  <r>
    <x v="2"/>
    <x v="2"/>
    <x v="74"/>
    <x v="74"/>
    <x v="5"/>
    <x v="74"/>
    <x v="73"/>
    <x v="74"/>
    <x v="0"/>
  </r>
  <r>
    <x v="21"/>
    <x v="3"/>
    <x v="75"/>
    <x v="75"/>
    <x v="6"/>
    <x v="75"/>
    <x v="74"/>
    <x v="75"/>
    <x v="0"/>
  </r>
  <r>
    <x v="22"/>
    <x v="3"/>
    <x v="76"/>
    <x v="76"/>
    <x v="6"/>
    <x v="76"/>
    <x v="75"/>
    <x v="76"/>
    <x v="4"/>
  </r>
  <r>
    <x v="23"/>
    <x v="3"/>
    <x v="77"/>
    <x v="77"/>
    <x v="6"/>
    <x v="77"/>
    <x v="76"/>
    <x v="77"/>
    <x v="3"/>
  </r>
  <r>
    <x v="24"/>
    <x v="3"/>
    <x v="78"/>
    <x v="78"/>
    <x v="6"/>
    <x v="78"/>
    <x v="77"/>
    <x v="78"/>
    <x v="3"/>
  </r>
  <r>
    <x v="25"/>
    <x v="3"/>
    <x v="79"/>
    <x v="79"/>
    <x v="6"/>
    <x v="79"/>
    <x v="78"/>
    <x v="79"/>
    <x v="3"/>
  </r>
  <r>
    <x v="26"/>
    <x v="3"/>
    <x v="80"/>
    <x v="80"/>
    <x v="6"/>
    <x v="80"/>
    <x v="79"/>
    <x v="80"/>
    <x v="2"/>
  </r>
  <r>
    <x v="0"/>
    <x v="3"/>
    <x v="81"/>
    <x v="81"/>
    <x v="6"/>
    <x v="81"/>
    <x v="80"/>
    <x v="81"/>
    <x v="0"/>
  </r>
  <r>
    <x v="1"/>
    <x v="3"/>
    <x v="82"/>
    <x v="82"/>
    <x v="6"/>
    <x v="82"/>
    <x v="81"/>
    <x v="82"/>
    <x v="0"/>
  </r>
  <r>
    <x v="2"/>
    <x v="3"/>
    <x v="83"/>
    <x v="83"/>
    <x v="6"/>
    <x v="83"/>
    <x v="82"/>
    <x v="83"/>
    <x v="0"/>
  </r>
  <r>
    <x v="3"/>
    <x v="4"/>
    <x v="84"/>
    <x v="84"/>
    <x v="4"/>
    <x v="84"/>
    <x v="83"/>
    <x v="84"/>
    <x v="1"/>
  </r>
  <r>
    <x v="4"/>
    <x v="4"/>
    <x v="85"/>
    <x v="85"/>
    <x v="4"/>
    <x v="26"/>
    <x v="84"/>
    <x v="85"/>
    <x v="2"/>
  </r>
  <r>
    <x v="5"/>
    <x v="4"/>
    <x v="86"/>
    <x v="86"/>
    <x v="4"/>
    <x v="85"/>
    <x v="85"/>
    <x v="86"/>
    <x v="1"/>
  </r>
  <r>
    <x v="6"/>
    <x v="4"/>
    <x v="87"/>
    <x v="87"/>
    <x v="4"/>
    <x v="86"/>
    <x v="86"/>
    <x v="87"/>
    <x v="3"/>
  </r>
  <r>
    <x v="7"/>
    <x v="4"/>
    <x v="88"/>
    <x v="88"/>
    <x v="4"/>
    <x v="87"/>
    <x v="87"/>
    <x v="88"/>
    <x v="3"/>
  </r>
  <r>
    <x v="8"/>
    <x v="4"/>
    <x v="89"/>
    <x v="89"/>
    <x v="3"/>
    <x v="88"/>
    <x v="88"/>
    <x v="89"/>
    <x v="4"/>
  </r>
  <r>
    <x v="9"/>
    <x v="4"/>
    <x v="90"/>
    <x v="90"/>
    <x v="4"/>
    <x v="89"/>
    <x v="89"/>
    <x v="90"/>
    <x v="4"/>
  </r>
  <r>
    <x v="10"/>
    <x v="4"/>
    <x v="91"/>
    <x v="91"/>
    <x v="2"/>
    <x v="90"/>
    <x v="90"/>
    <x v="91"/>
    <x v="0"/>
  </r>
  <r>
    <x v="11"/>
    <x v="4"/>
    <x v="92"/>
    <x v="92"/>
    <x v="4"/>
    <x v="91"/>
    <x v="91"/>
    <x v="92"/>
    <x v="4"/>
  </r>
  <r>
    <x v="12"/>
    <x v="4"/>
    <x v="93"/>
    <x v="93"/>
    <x v="4"/>
    <x v="92"/>
    <x v="92"/>
    <x v="93"/>
    <x v="1"/>
  </r>
  <r>
    <x v="13"/>
    <x v="4"/>
    <x v="94"/>
    <x v="94"/>
    <x v="4"/>
    <x v="93"/>
    <x v="93"/>
    <x v="94"/>
    <x v="2"/>
  </r>
  <r>
    <x v="14"/>
    <x v="4"/>
    <x v="95"/>
    <x v="95"/>
    <x v="4"/>
    <x v="94"/>
    <x v="94"/>
    <x v="95"/>
    <x v="2"/>
  </r>
  <r>
    <x v="15"/>
    <x v="4"/>
    <x v="96"/>
    <x v="96"/>
    <x v="4"/>
    <x v="95"/>
    <x v="95"/>
    <x v="96"/>
    <x v="3"/>
  </r>
  <r>
    <x v="16"/>
    <x v="4"/>
    <x v="97"/>
    <x v="97"/>
    <x v="7"/>
    <x v="96"/>
    <x v="96"/>
    <x v="97"/>
    <x v="4"/>
  </r>
  <r>
    <x v="17"/>
    <x v="4"/>
    <x v="98"/>
    <x v="98"/>
    <x v="4"/>
    <x v="97"/>
    <x v="97"/>
    <x v="98"/>
    <x v="1"/>
  </r>
  <r>
    <x v="18"/>
    <x v="4"/>
    <x v="99"/>
    <x v="99"/>
    <x v="4"/>
    <x v="98"/>
    <x v="98"/>
    <x v="99"/>
    <x v="4"/>
  </r>
  <r>
    <x v="19"/>
    <x v="4"/>
    <x v="100"/>
    <x v="100"/>
    <x v="4"/>
    <x v="99"/>
    <x v="99"/>
    <x v="100"/>
    <x v="3"/>
  </r>
  <r>
    <x v="20"/>
    <x v="4"/>
    <x v="101"/>
    <x v="101"/>
    <x v="2"/>
    <x v="100"/>
    <x v="100"/>
    <x v="101"/>
    <x v="2"/>
  </r>
  <r>
    <x v="21"/>
    <x v="4"/>
    <x v="102"/>
    <x v="102"/>
    <x v="2"/>
    <x v="101"/>
    <x v="101"/>
    <x v="102"/>
    <x v="0"/>
  </r>
  <r>
    <x v="22"/>
    <x v="4"/>
    <x v="103"/>
    <x v="103"/>
    <x v="4"/>
    <x v="99"/>
    <x v="102"/>
    <x v="103"/>
    <x v="4"/>
  </r>
  <r>
    <x v="23"/>
    <x v="4"/>
    <x v="104"/>
    <x v="104"/>
    <x v="4"/>
    <x v="102"/>
    <x v="103"/>
    <x v="104"/>
    <x v="3"/>
  </r>
  <r>
    <x v="24"/>
    <x v="4"/>
    <x v="105"/>
    <x v="105"/>
    <x v="4"/>
    <x v="103"/>
    <x v="104"/>
    <x v="105"/>
    <x v="3"/>
  </r>
  <r>
    <x v="25"/>
    <x v="4"/>
    <x v="106"/>
    <x v="106"/>
    <x v="4"/>
    <x v="104"/>
    <x v="105"/>
    <x v="106"/>
    <x v="3"/>
  </r>
  <r>
    <x v="26"/>
    <x v="4"/>
    <x v="107"/>
    <x v="107"/>
    <x v="2"/>
    <x v="105"/>
    <x v="106"/>
    <x v="107"/>
    <x v="2"/>
  </r>
  <r>
    <x v="0"/>
    <x v="4"/>
    <x v="108"/>
    <x v="108"/>
    <x v="2"/>
    <x v="106"/>
    <x v="107"/>
    <x v="108"/>
    <x v="0"/>
  </r>
  <r>
    <x v="1"/>
    <x v="4"/>
    <x v="109"/>
    <x v="109"/>
    <x v="2"/>
    <x v="107"/>
    <x v="108"/>
    <x v="109"/>
    <x v="0"/>
  </r>
  <r>
    <x v="2"/>
    <x v="4"/>
    <x v="110"/>
    <x v="110"/>
    <x v="2"/>
    <x v="108"/>
    <x v="109"/>
    <x v="110"/>
    <x v="0"/>
  </r>
  <r>
    <x v="3"/>
    <x v="5"/>
    <x v="111"/>
    <x v="111"/>
    <x v="8"/>
    <x v="109"/>
    <x v="110"/>
    <x v="111"/>
    <x v="1"/>
  </r>
  <r>
    <x v="4"/>
    <x v="5"/>
    <x v="112"/>
    <x v="112"/>
    <x v="8"/>
    <x v="110"/>
    <x v="111"/>
    <x v="112"/>
    <x v="2"/>
  </r>
  <r>
    <x v="5"/>
    <x v="5"/>
    <x v="113"/>
    <x v="113"/>
    <x v="8"/>
    <x v="111"/>
    <x v="112"/>
    <x v="113"/>
    <x v="1"/>
  </r>
  <r>
    <x v="6"/>
    <x v="5"/>
    <x v="114"/>
    <x v="114"/>
    <x v="8"/>
    <x v="112"/>
    <x v="113"/>
    <x v="114"/>
    <x v="3"/>
  </r>
  <r>
    <x v="7"/>
    <x v="5"/>
    <x v="115"/>
    <x v="115"/>
    <x v="8"/>
    <x v="113"/>
    <x v="114"/>
    <x v="115"/>
    <x v="3"/>
  </r>
  <r>
    <x v="8"/>
    <x v="5"/>
    <x v="116"/>
    <x v="116"/>
    <x v="9"/>
    <x v="114"/>
    <x v="115"/>
    <x v="116"/>
    <x v="4"/>
  </r>
  <r>
    <x v="9"/>
    <x v="5"/>
    <x v="117"/>
    <x v="117"/>
    <x v="8"/>
    <x v="115"/>
    <x v="116"/>
    <x v="117"/>
    <x v="4"/>
  </r>
  <r>
    <x v="10"/>
    <x v="5"/>
    <x v="118"/>
    <x v="118"/>
    <x v="8"/>
    <x v="116"/>
    <x v="117"/>
    <x v="118"/>
    <x v="0"/>
  </r>
  <r>
    <x v="11"/>
    <x v="5"/>
    <x v="119"/>
    <x v="119"/>
    <x v="8"/>
    <x v="117"/>
    <x v="118"/>
    <x v="119"/>
    <x v="4"/>
  </r>
  <r>
    <x v="12"/>
    <x v="5"/>
    <x v="120"/>
    <x v="120"/>
    <x v="8"/>
    <x v="118"/>
    <x v="119"/>
    <x v="120"/>
    <x v="1"/>
  </r>
  <r>
    <x v="13"/>
    <x v="5"/>
    <x v="121"/>
    <x v="121"/>
    <x v="8"/>
    <x v="119"/>
    <x v="120"/>
    <x v="121"/>
    <x v="2"/>
  </r>
  <r>
    <x v="14"/>
    <x v="5"/>
    <x v="122"/>
    <x v="122"/>
    <x v="8"/>
    <x v="120"/>
    <x v="121"/>
    <x v="122"/>
    <x v="2"/>
  </r>
  <r>
    <x v="15"/>
    <x v="5"/>
    <x v="123"/>
    <x v="123"/>
    <x v="8"/>
    <x v="121"/>
    <x v="122"/>
    <x v="123"/>
    <x v="3"/>
  </r>
  <r>
    <x v="16"/>
    <x v="5"/>
    <x v="124"/>
    <x v="124"/>
    <x v="9"/>
    <x v="122"/>
    <x v="123"/>
    <x v="124"/>
    <x v="4"/>
  </r>
  <r>
    <x v="17"/>
    <x v="5"/>
    <x v="125"/>
    <x v="125"/>
    <x v="8"/>
    <x v="123"/>
    <x v="124"/>
    <x v="125"/>
    <x v="1"/>
  </r>
  <r>
    <x v="18"/>
    <x v="5"/>
    <x v="126"/>
    <x v="126"/>
    <x v="8"/>
    <x v="124"/>
    <x v="125"/>
    <x v="126"/>
    <x v="4"/>
  </r>
  <r>
    <x v="19"/>
    <x v="5"/>
    <x v="127"/>
    <x v="127"/>
    <x v="8"/>
    <x v="125"/>
    <x v="126"/>
    <x v="127"/>
    <x v="3"/>
  </r>
  <r>
    <x v="20"/>
    <x v="5"/>
    <x v="128"/>
    <x v="128"/>
    <x v="8"/>
    <x v="126"/>
    <x v="127"/>
    <x v="128"/>
    <x v="2"/>
  </r>
  <r>
    <x v="21"/>
    <x v="5"/>
    <x v="129"/>
    <x v="129"/>
    <x v="8"/>
    <x v="127"/>
    <x v="128"/>
    <x v="129"/>
    <x v="0"/>
  </r>
  <r>
    <x v="22"/>
    <x v="5"/>
    <x v="130"/>
    <x v="130"/>
    <x v="8"/>
    <x v="128"/>
    <x v="110"/>
    <x v="130"/>
    <x v="4"/>
  </r>
  <r>
    <x v="23"/>
    <x v="5"/>
    <x v="131"/>
    <x v="131"/>
    <x v="8"/>
    <x v="129"/>
    <x v="129"/>
    <x v="131"/>
    <x v="3"/>
  </r>
  <r>
    <x v="24"/>
    <x v="5"/>
    <x v="132"/>
    <x v="132"/>
    <x v="8"/>
    <x v="130"/>
    <x v="130"/>
    <x v="132"/>
    <x v="3"/>
  </r>
  <r>
    <x v="25"/>
    <x v="5"/>
    <x v="133"/>
    <x v="133"/>
    <x v="8"/>
    <x v="131"/>
    <x v="131"/>
    <x v="133"/>
    <x v="3"/>
  </r>
  <r>
    <x v="26"/>
    <x v="5"/>
    <x v="134"/>
    <x v="134"/>
    <x v="8"/>
    <x v="132"/>
    <x v="132"/>
    <x v="134"/>
    <x v="2"/>
  </r>
  <r>
    <x v="3"/>
    <x v="6"/>
    <x v="135"/>
    <x v="135"/>
    <x v="10"/>
    <x v="133"/>
    <x v="133"/>
    <x v="135"/>
    <x v="1"/>
  </r>
  <r>
    <x v="4"/>
    <x v="6"/>
    <x v="136"/>
    <x v="136"/>
    <x v="10"/>
    <x v="134"/>
    <x v="134"/>
    <x v="136"/>
    <x v="2"/>
  </r>
  <r>
    <x v="5"/>
    <x v="6"/>
    <x v="137"/>
    <x v="137"/>
    <x v="10"/>
    <x v="135"/>
    <x v="135"/>
    <x v="137"/>
    <x v="1"/>
  </r>
  <r>
    <x v="6"/>
    <x v="6"/>
    <x v="138"/>
    <x v="138"/>
    <x v="10"/>
    <x v="136"/>
    <x v="136"/>
    <x v="138"/>
    <x v="3"/>
  </r>
  <r>
    <x v="7"/>
    <x v="6"/>
    <x v="139"/>
    <x v="139"/>
    <x v="10"/>
    <x v="137"/>
    <x v="137"/>
    <x v="139"/>
    <x v="3"/>
  </r>
  <r>
    <x v="8"/>
    <x v="6"/>
    <x v="140"/>
    <x v="140"/>
    <x v="10"/>
    <x v="138"/>
    <x v="138"/>
    <x v="140"/>
    <x v="4"/>
  </r>
  <r>
    <x v="9"/>
    <x v="6"/>
    <x v="141"/>
    <x v="141"/>
    <x v="10"/>
    <x v="139"/>
    <x v="139"/>
    <x v="141"/>
    <x v="4"/>
  </r>
  <r>
    <x v="10"/>
    <x v="6"/>
    <x v="142"/>
    <x v="142"/>
    <x v="11"/>
    <x v="140"/>
    <x v="140"/>
    <x v="142"/>
    <x v="0"/>
  </r>
  <r>
    <x v="11"/>
    <x v="6"/>
    <x v="143"/>
    <x v="143"/>
    <x v="10"/>
    <x v="141"/>
    <x v="141"/>
    <x v="143"/>
    <x v="4"/>
  </r>
  <r>
    <x v="12"/>
    <x v="6"/>
    <x v="144"/>
    <x v="144"/>
    <x v="10"/>
    <x v="142"/>
    <x v="142"/>
    <x v="144"/>
    <x v="1"/>
  </r>
  <r>
    <x v="13"/>
    <x v="6"/>
    <x v="145"/>
    <x v="145"/>
    <x v="10"/>
    <x v="143"/>
    <x v="143"/>
    <x v="145"/>
    <x v="2"/>
  </r>
  <r>
    <x v="14"/>
    <x v="6"/>
    <x v="146"/>
    <x v="146"/>
    <x v="10"/>
    <x v="144"/>
    <x v="144"/>
    <x v="146"/>
    <x v="2"/>
  </r>
  <r>
    <x v="15"/>
    <x v="6"/>
    <x v="147"/>
    <x v="147"/>
    <x v="10"/>
    <x v="145"/>
    <x v="145"/>
    <x v="147"/>
    <x v="3"/>
  </r>
  <r>
    <x v="16"/>
    <x v="6"/>
    <x v="148"/>
    <x v="148"/>
    <x v="10"/>
    <x v="146"/>
    <x v="146"/>
    <x v="148"/>
    <x v="4"/>
  </r>
  <r>
    <x v="17"/>
    <x v="6"/>
    <x v="149"/>
    <x v="149"/>
    <x v="10"/>
    <x v="147"/>
    <x v="147"/>
    <x v="149"/>
    <x v="1"/>
  </r>
  <r>
    <x v="0"/>
    <x v="5"/>
    <x v="150"/>
    <x v="150"/>
    <x v="8"/>
    <x v="148"/>
    <x v="148"/>
    <x v="150"/>
    <x v="0"/>
  </r>
  <r>
    <x v="18"/>
    <x v="6"/>
    <x v="151"/>
    <x v="151"/>
    <x v="10"/>
    <x v="149"/>
    <x v="149"/>
    <x v="151"/>
    <x v="4"/>
  </r>
  <r>
    <x v="1"/>
    <x v="5"/>
    <x v="152"/>
    <x v="152"/>
    <x v="8"/>
    <x v="150"/>
    <x v="150"/>
    <x v="152"/>
    <x v="0"/>
  </r>
  <r>
    <x v="19"/>
    <x v="6"/>
    <x v="153"/>
    <x v="153"/>
    <x v="10"/>
    <x v="151"/>
    <x v="151"/>
    <x v="153"/>
    <x v="3"/>
  </r>
  <r>
    <x v="20"/>
    <x v="6"/>
    <x v="154"/>
    <x v="154"/>
    <x v="10"/>
    <x v="152"/>
    <x v="152"/>
    <x v="154"/>
    <x v="2"/>
  </r>
  <r>
    <x v="2"/>
    <x v="5"/>
    <x v="155"/>
    <x v="155"/>
    <x v="8"/>
    <x v="153"/>
    <x v="153"/>
    <x v="155"/>
    <x v="0"/>
  </r>
  <r>
    <x v="21"/>
    <x v="6"/>
    <x v="156"/>
    <x v="156"/>
    <x v="11"/>
    <x v="154"/>
    <x v="154"/>
    <x v="156"/>
    <x v="0"/>
  </r>
  <r>
    <x v="22"/>
    <x v="6"/>
    <x v="157"/>
    <x v="157"/>
    <x v="10"/>
    <x v="155"/>
    <x v="155"/>
    <x v="157"/>
    <x v="4"/>
  </r>
  <r>
    <x v="23"/>
    <x v="6"/>
    <x v="158"/>
    <x v="158"/>
    <x v="10"/>
    <x v="156"/>
    <x v="156"/>
    <x v="158"/>
    <x v="3"/>
  </r>
  <r>
    <x v="24"/>
    <x v="6"/>
    <x v="159"/>
    <x v="159"/>
    <x v="10"/>
    <x v="157"/>
    <x v="157"/>
    <x v="159"/>
    <x v="3"/>
  </r>
  <r>
    <x v="25"/>
    <x v="6"/>
    <x v="160"/>
    <x v="160"/>
    <x v="10"/>
    <x v="158"/>
    <x v="158"/>
    <x v="160"/>
    <x v="3"/>
  </r>
  <r>
    <x v="26"/>
    <x v="6"/>
    <x v="161"/>
    <x v="161"/>
    <x v="10"/>
    <x v="159"/>
    <x v="159"/>
    <x v="161"/>
    <x v="2"/>
  </r>
  <r>
    <x v="3"/>
    <x v="7"/>
    <x v="162"/>
    <x v="162"/>
    <x v="12"/>
    <x v="160"/>
    <x v="160"/>
    <x v="162"/>
    <x v="1"/>
  </r>
  <r>
    <x v="4"/>
    <x v="7"/>
    <x v="163"/>
    <x v="163"/>
    <x v="12"/>
    <x v="161"/>
    <x v="161"/>
    <x v="163"/>
    <x v="2"/>
  </r>
  <r>
    <x v="5"/>
    <x v="7"/>
    <x v="164"/>
    <x v="164"/>
    <x v="12"/>
    <x v="162"/>
    <x v="162"/>
    <x v="164"/>
    <x v="1"/>
  </r>
  <r>
    <x v="6"/>
    <x v="7"/>
    <x v="165"/>
    <x v="165"/>
    <x v="12"/>
    <x v="163"/>
    <x v="163"/>
    <x v="165"/>
    <x v="3"/>
  </r>
  <r>
    <x v="7"/>
    <x v="7"/>
    <x v="166"/>
    <x v="166"/>
    <x v="12"/>
    <x v="164"/>
    <x v="164"/>
    <x v="166"/>
    <x v="3"/>
  </r>
  <r>
    <x v="8"/>
    <x v="7"/>
    <x v="167"/>
    <x v="167"/>
    <x v="12"/>
    <x v="165"/>
    <x v="165"/>
    <x v="167"/>
    <x v="4"/>
  </r>
  <r>
    <x v="9"/>
    <x v="7"/>
    <x v="168"/>
    <x v="168"/>
    <x v="12"/>
    <x v="166"/>
    <x v="166"/>
    <x v="168"/>
    <x v="4"/>
  </r>
  <r>
    <x v="10"/>
    <x v="7"/>
    <x v="169"/>
    <x v="169"/>
    <x v="12"/>
    <x v="167"/>
    <x v="167"/>
    <x v="169"/>
    <x v="0"/>
  </r>
  <r>
    <x v="11"/>
    <x v="7"/>
    <x v="170"/>
    <x v="170"/>
    <x v="12"/>
    <x v="168"/>
    <x v="168"/>
    <x v="170"/>
    <x v="4"/>
  </r>
  <r>
    <x v="12"/>
    <x v="7"/>
    <x v="171"/>
    <x v="171"/>
    <x v="12"/>
    <x v="169"/>
    <x v="169"/>
    <x v="171"/>
    <x v="1"/>
  </r>
  <r>
    <x v="13"/>
    <x v="7"/>
    <x v="172"/>
    <x v="172"/>
    <x v="12"/>
    <x v="170"/>
    <x v="170"/>
    <x v="172"/>
    <x v="2"/>
  </r>
  <r>
    <x v="14"/>
    <x v="7"/>
    <x v="173"/>
    <x v="173"/>
    <x v="12"/>
    <x v="171"/>
    <x v="171"/>
    <x v="173"/>
    <x v="2"/>
  </r>
  <r>
    <x v="15"/>
    <x v="7"/>
    <x v="174"/>
    <x v="174"/>
    <x v="12"/>
    <x v="172"/>
    <x v="172"/>
    <x v="174"/>
    <x v="3"/>
  </r>
  <r>
    <x v="16"/>
    <x v="7"/>
    <x v="175"/>
    <x v="175"/>
    <x v="12"/>
    <x v="173"/>
    <x v="173"/>
    <x v="175"/>
    <x v="4"/>
  </r>
  <r>
    <x v="17"/>
    <x v="7"/>
    <x v="176"/>
    <x v="176"/>
    <x v="12"/>
    <x v="174"/>
    <x v="174"/>
    <x v="176"/>
    <x v="1"/>
  </r>
  <r>
    <x v="0"/>
    <x v="6"/>
    <x v="177"/>
    <x v="177"/>
    <x v="11"/>
    <x v="175"/>
    <x v="175"/>
    <x v="177"/>
    <x v="0"/>
  </r>
  <r>
    <x v="18"/>
    <x v="7"/>
    <x v="178"/>
    <x v="178"/>
    <x v="12"/>
    <x v="176"/>
    <x v="176"/>
    <x v="178"/>
    <x v="4"/>
  </r>
  <r>
    <x v="1"/>
    <x v="6"/>
    <x v="179"/>
    <x v="179"/>
    <x v="11"/>
    <x v="177"/>
    <x v="177"/>
    <x v="179"/>
    <x v="0"/>
  </r>
  <r>
    <x v="19"/>
    <x v="7"/>
    <x v="180"/>
    <x v="180"/>
    <x v="12"/>
    <x v="178"/>
    <x v="178"/>
    <x v="180"/>
    <x v="3"/>
  </r>
  <r>
    <x v="20"/>
    <x v="7"/>
    <x v="181"/>
    <x v="181"/>
    <x v="12"/>
    <x v="179"/>
    <x v="179"/>
    <x v="181"/>
    <x v="2"/>
  </r>
  <r>
    <x v="2"/>
    <x v="6"/>
    <x v="182"/>
    <x v="182"/>
    <x v="11"/>
    <x v="180"/>
    <x v="180"/>
    <x v="182"/>
    <x v="0"/>
  </r>
  <r>
    <x v="21"/>
    <x v="7"/>
    <x v="183"/>
    <x v="183"/>
    <x v="12"/>
    <x v="181"/>
    <x v="181"/>
    <x v="183"/>
    <x v="0"/>
  </r>
  <r>
    <x v="22"/>
    <x v="7"/>
    <x v="184"/>
    <x v="184"/>
    <x v="12"/>
    <x v="182"/>
    <x v="182"/>
    <x v="184"/>
    <x v="4"/>
  </r>
  <r>
    <x v="23"/>
    <x v="7"/>
    <x v="185"/>
    <x v="185"/>
    <x v="12"/>
    <x v="183"/>
    <x v="183"/>
    <x v="185"/>
    <x v="3"/>
  </r>
  <r>
    <x v="24"/>
    <x v="7"/>
    <x v="186"/>
    <x v="186"/>
    <x v="12"/>
    <x v="184"/>
    <x v="184"/>
    <x v="186"/>
    <x v="3"/>
  </r>
  <r>
    <x v="25"/>
    <x v="7"/>
    <x v="187"/>
    <x v="187"/>
    <x v="12"/>
    <x v="185"/>
    <x v="185"/>
    <x v="187"/>
    <x v="3"/>
  </r>
  <r>
    <x v="26"/>
    <x v="7"/>
    <x v="188"/>
    <x v="188"/>
    <x v="12"/>
    <x v="186"/>
    <x v="186"/>
    <x v="188"/>
    <x v="2"/>
  </r>
  <r>
    <x v="3"/>
    <x v="8"/>
    <x v="189"/>
    <x v="189"/>
    <x v="1"/>
    <x v="187"/>
    <x v="187"/>
    <x v="189"/>
    <x v="1"/>
  </r>
  <r>
    <x v="4"/>
    <x v="8"/>
    <x v="190"/>
    <x v="190"/>
    <x v="1"/>
    <x v="188"/>
    <x v="188"/>
    <x v="190"/>
    <x v="2"/>
  </r>
  <r>
    <x v="5"/>
    <x v="8"/>
    <x v="191"/>
    <x v="191"/>
    <x v="1"/>
    <x v="189"/>
    <x v="189"/>
    <x v="191"/>
    <x v="1"/>
  </r>
  <r>
    <x v="6"/>
    <x v="8"/>
    <x v="192"/>
    <x v="192"/>
    <x v="1"/>
    <x v="190"/>
    <x v="190"/>
    <x v="192"/>
    <x v="3"/>
  </r>
  <r>
    <x v="7"/>
    <x v="8"/>
    <x v="193"/>
    <x v="193"/>
    <x v="2"/>
    <x v="191"/>
    <x v="191"/>
    <x v="193"/>
    <x v="3"/>
  </r>
  <r>
    <x v="8"/>
    <x v="8"/>
    <x v="194"/>
    <x v="194"/>
    <x v="4"/>
    <x v="192"/>
    <x v="12"/>
    <x v="194"/>
    <x v="4"/>
  </r>
  <r>
    <x v="9"/>
    <x v="8"/>
    <x v="195"/>
    <x v="195"/>
    <x v="2"/>
    <x v="193"/>
    <x v="192"/>
    <x v="195"/>
    <x v="4"/>
  </r>
  <r>
    <x v="10"/>
    <x v="8"/>
    <x v="196"/>
    <x v="196"/>
    <x v="1"/>
    <x v="194"/>
    <x v="193"/>
    <x v="196"/>
    <x v="0"/>
  </r>
  <r>
    <x v="11"/>
    <x v="8"/>
    <x v="197"/>
    <x v="197"/>
    <x v="2"/>
    <x v="195"/>
    <x v="194"/>
    <x v="197"/>
    <x v="4"/>
  </r>
  <r>
    <x v="12"/>
    <x v="8"/>
    <x v="198"/>
    <x v="198"/>
    <x v="1"/>
    <x v="196"/>
    <x v="195"/>
    <x v="198"/>
    <x v="1"/>
  </r>
  <r>
    <x v="13"/>
    <x v="8"/>
    <x v="199"/>
    <x v="199"/>
    <x v="1"/>
    <x v="197"/>
    <x v="196"/>
    <x v="199"/>
    <x v="2"/>
  </r>
  <r>
    <x v="14"/>
    <x v="8"/>
    <x v="200"/>
    <x v="200"/>
    <x v="1"/>
    <x v="198"/>
    <x v="197"/>
    <x v="200"/>
    <x v="2"/>
  </r>
  <r>
    <x v="15"/>
    <x v="8"/>
    <x v="201"/>
    <x v="201"/>
    <x v="2"/>
    <x v="199"/>
    <x v="198"/>
    <x v="201"/>
    <x v="3"/>
  </r>
  <r>
    <x v="16"/>
    <x v="8"/>
    <x v="202"/>
    <x v="202"/>
    <x v="4"/>
    <x v="200"/>
    <x v="199"/>
    <x v="202"/>
    <x v="4"/>
  </r>
  <r>
    <x v="17"/>
    <x v="8"/>
    <x v="203"/>
    <x v="203"/>
    <x v="1"/>
    <x v="201"/>
    <x v="200"/>
    <x v="203"/>
    <x v="1"/>
  </r>
  <r>
    <x v="0"/>
    <x v="7"/>
    <x v="204"/>
    <x v="204"/>
    <x v="13"/>
    <x v="202"/>
    <x v="201"/>
    <x v="204"/>
    <x v="0"/>
  </r>
  <r>
    <x v="18"/>
    <x v="8"/>
    <x v="205"/>
    <x v="205"/>
    <x v="2"/>
    <x v="203"/>
    <x v="202"/>
    <x v="205"/>
    <x v="4"/>
  </r>
  <r>
    <x v="1"/>
    <x v="7"/>
    <x v="206"/>
    <x v="206"/>
    <x v="13"/>
    <x v="204"/>
    <x v="203"/>
    <x v="206"/>
    <x v="0"/>
  </r>
  <r>
    <x v="19"/>
    <x v="8"/>
    <x v="207"/>
    <x v="207"/>
    <x v="2"/>
    <x v="205"/>
    <x v="204"/>
    <x v="207"/>
    <x v="3"/>
  </r>
  <r>
    <x v="20"/>
    <x v="8"/>
    <x v="208"/>
    <x v="208"/>
    <x v="1"/>
    <x v="206"/>
    <x v="205"/>
    <x v="208"/>
    <x v="2"/>
  </r>
  <r>
    <x v="2"/>
    <x v="7"/>
    <x v="209"/>
    <x v="209"/>
    <x v="13"/>
    <x v="207"/>
    <x v="206"/>
    <x v="209"/>
    <x v="0"/>
  </r>
  <r>
    <x v="21"/>
    <x v="8"/>
    <x v="210"/>
    <x v="210"/>
    <x v="1"/>
    <x v="208"/>
    <x v="207"/>
    <x v="210"/>
    <x v="0"/>
  </r>
  <r>
    <x v="22"/>
    <x v="8"/>
    <x v="211"/>
    <x v="211"/>
    <x v="2"/>
    <x v="209"/>
    <x v="208"/>
    <x v="211"/>
    <x v="4"/>
  </r>
  <r>
    <x v="23"/>
    <x v="8"/>
    <x v="212"/>
    <x v="212"/>
    <x v="1"/>
    <x v="210"/>
    <x v="209"/>
    <x v="212"/>
    <x v="3"/>
  </r>
  <r>
    <x v="24"/>
    <x v="8"/>
    <x v="213"/>
    <x v="213"/>
    <x v="1"/>
    <x v="211"/>
    <x v="210"/>
    <x v="213"/>
    <x v="3"/>
  </r>
  <r>
    <x v="25"/>
    <x v="8"/>
    <x v="214"/>
    <x v="214"/>
    <x v="1"/>
    <x v="212"/>
    <x v="211"/>
    <x v="214"/>
    <x v="3"/>
  </r>
  <r>
    <x v="26"/>
    <x v="8"/>
    <x v="215"/>
    <x v="215"/>
    <x v="1"/>
    <x v="213"/>
    <x v="212"/>
    <x v="215"/>
    <x v="2"/>
  </r>
  <r>
    <x v="0"/>
    <x v="8"/>
    <x v="216"/>
    <x v="216"/>
    <x v="14"/>
    <x v="214"/>
    <x v="213"/>
    <x v="216"/>
    <x v="0"/>
  </r>
  <r>
    <x v="1"/>
    <x v="8"/>
    <x v="217"/>
    <x v="217"/>
    <x v="15"/>
    <x v="215"/>
    <x v="214"/>
    <x v="217"/>
    <x v="0"/>
  </r>
  <r>
    <x v="2"/>
    <x v="8"/>
    <x v="218"/>
    <x v="218"/>
    <x v="15"/>
    <x v="216"/>
    <x v="215"/>
    <x v="218"/>
    <x v="0"/>
  </r>
  <r>
    <x v="3"/>
    <x v="9"/>
    <x v="219"/>
    <x v="219"/>
    <x v="0"/>
    <x v="217"/>
    <x v="216"/>
    <x v="219"/>
    <x v="1"/>
  </r>
  <r>
    <x v="4"/>
    <x v="9"/>
    <x v="220"/>
    <x v="220"/>
    <x v="16"/>
    <x v="218"/>
    <x v="217"/>
    <x v="220"/>
    <x v="2"/>
  </r>
  <r>
    <x v="5"/>
    <x v="9"/>
    <x v="221"/>
    <x v="221"/>
    <x v="0"/>
    <x v="219"/>
    <x v="218"/>
    <x v="221"/>
    <x v="1"/>
  </r>
  <r>
    <x v="6"/>
    <x v="9"/>
    <x v="222"/>
    <x v="222"/>
    <x v="0"/>
    <x v="220"/>
    <x v="219"/>
    <x v="222"/>
    <x v="3"/>
  </r>
  <r>
    <x v="7"/>
    <x v="9"/>
    <x v="223"/>
    <x v="223"/>
    <x v="0"/>
    <x v="221"/>
    <x v="220"/>
    <x v="223"/>
    <x v="3"/>
  </r>
  <r>
    <x v="8"/>
    <x v="9"/>
    <x v="224"/>
    <x v="224"/>
    <x v="0"/>
    <x v="222"/>
    <x v="221"/>
    <x v="224"/>
    <x v="4"/>
  </r>
  <r>
    <x v="9"/>
    <x v="9"/>
    <x v="225"/>
    <x v="225"/>
    <x v="0"/>
    <x v="223"/>
    <x v="222"/>
    <x v="225"/>
    <x v="4"/>
  </r>
  <r>
    <x v="10"/>
    <x v="9"/>
    <x v="226"/>
    <x v="226"/>
    <x v="7"/>
    <x v="224"/>
    <x v="223"/>
    <x v="226"/>
    <x v="0"/>
  </r>
  <r>
    <x v="11"/>
    <x v="9"/>
    <x v="227"/>
    <x v="227"/>
    <x v="0"/>
    <x v="225"/>
    <x v="224"/>
    <x v="227"/>
    <x v="4"/>
  </r>
  <r>
    <x v="12"/>
    <x v="9"/>
    <x v="228"/>
    <x v="228"/>
    <x v="0"/>
    <x v="226"/>
    <x v="225"/>
    <x v="228"/>
    <x v="1"/>
  </r>
  <r>
    <x v="13"/>
    <x v="9"/>
    <x v="229"/>
    <x v="229"/>
    <x v="7"/>
    <x v="227"/>
    <x v="226"/>
    <x v="229"/>
    <x v="2"/>
  </r>
  <r>
    <x v="14"/>
    <x v="9"/>
    <x v="230"/>
    <x v="230"/>
    <x v="16"/>
    <x v="228"/>
    <x v="227"/>
    <x v="230"/>
    <x v="2"/>
  </r>
  <r>
    <x v="15"/>
    <x v="9"/>
    <x v="231"/>
    <x v="231"/>
    <x v="0"/>
    <x v="229"/>
    <x v="228"/>
    <x v="231"/>
    <x v="3"/>
  </r>
  <r>
    <x v="16"/>
    <x v="9"/>
    <x v="232"/>
    <x v="232"/>
    <x v="0"/>
    <x v="230"/>
    <x v="229"/>
    <x v="232"/>
    <x v="4"/>
  </r>
  <r>
    <x v="17"/>
    <x v="9"/>
    <x v="233"/>
    <x v="233"/>
    <x v="0"/>
    <x v="231"/>
    <x v="230"/>
    <x v="233"/>
    <x v="1"/>
  </r>
  <r>
    <x v="18"/>
    <x v="9"/>
    <x v="234"/>
    <x v="234"/>
    <x v="0"/>
    <x v="232"/>
    <x v="231"/>
    <x v="234"/>
    <x v="4"/>
  </r>
  <r>
    <x v="19"/>
    <x v="9"/>
    <x v="235"/>
    <x v="235"/>
    <x v="0"/>
    <x v="233"/>
    <x v="232"/>
    <x v="235"/>
    <x v="3"/>
  </r>
  <r>
    <x v="20"/>
    <x v="9"/>
    <x v="236"/>
    <x v="236"/>
    <x v="7"/>
    <x v="234"/>
    <x v="233"/>
    <x v="236"/>
    <x v="2"/>
  </r>
  <r>
    <x v="21"/>
    <x v="9"/>
    <x v="237"/>
    <x v="237"/>
    <x v="7"/>
    <x v="235"/>
    <x v="234"/>
    <x v="237"/>
    <x v="0"/>
  </r>
  <r>
    <x v="22"/>
    <x v="9"/>
    <x v="238"/>
    <x v="238"/>
    <x v="0"/>
    <x v="83"/>
    <x v="235"/>
    <x v="238"/>
    <x v="4"/>
  </r>
  <r>
    <x v="23"/>
    <x v="9"/>
    <x v="239"/>
    <x v="239"/>
    <x v="0"/>
    <x v="236"/>
    <x v="236"/>
    <x v="239"/>
    <x v="3"/>
  </r>
  <r>
    <x v="24"/>
    <x v="9"/>
    <x v="240"/>
    <x v="240"/>
    <x v="0"/>
    <x v="237"/>
    <x v="237"/>
    <x v="240"/>
    <x v="3"/>
  </r>
  <r>
    <x v="25"/>
    <x v="9"/>
    <x v="241"/>
    <x v="241"/>
    <x v="0"/>
    <x v="238"/>
    <x v="238"/>
    <x v="241"/>
    <x v="3"/>
  </r>
  <r>
    <x v="26"/>
    <x v="9"/>
    <x v="242"/>
    <x v="242"/>
    <x v="7"/>
    <x v="239"/>
    <x v="239"/>
    <x v="242"/>
    <x v="2"/>
  </r>
  <r>
    <x v="3"/>
    <x v="10"/>
    <x v="243"/>
    <x v="243"/>
    <x v="0"/>
    <x v="240"/>
    <x v="220"/>
    <x v="243"/>
    <x v="1"/>
  </r>
  <r>
    <x v="4"/>
    <x v="10"/>
    <x v="244"/>
    <x v="244"/>
    <x v="0"/>
    <x v="241"/>
    <x v="240"/>
    <x v="244"/>
    <x v="2"/>
  </r>
  <r>
    <x v="5"/>
    <x v="10"/>
    <x v="245"/>
    <x v="245"/>
    <x v="0"/>
    <x v="61"/>
    <x v="64"/>
    <x v="245"/>
    <x v="1"/>
  </r>
  <r>
    <x v="6"/>
    <x v="10"/>
    <x v="246"/>
    <x v="246"/>
    <x v="0"/>
    <x v="242"/>
    <x v="241"/>
    <x v="246"/>
    <x v="3"/>
  </r>
  <r>
    <x v="7"/>
    <x v="10"/>
    <x v="247"/>
    <x v="247"/>
    <x v="0"/>
    <x v="243"/>
    <x v="242"/>
    <x v="247"/>
    <x v="3"/>
  </r>
  <r>
    <x v="8"/>
    <x v="11"/>
    <x v="248"/>
    <x v="248"/>
    <x v="3"/>
    <x v="244"/>
    <x v="243"/>
    <x v="248"/>
    <x v="4"/>
  </r>
  <r>
    <x v="9"/>
    <x v="10"/>
    <x v="249"/>
    <x v="249"/>
    <x v="0"/>
    <x v="245"/>
    <x v="244"/>
    <x v="249"/>
    <x v="4"/>
  </r>
  <r>
    <x v="10"/>
    <x v="10"/>
    <x v="250"/>
    <x v="250"/>
    <x v="0"/>
    <x v="246"/>
    <x v="245"/>
    <x v="250"/>
    <x v="0"/>
  </r>
  <r>
    <x v="11"/>
    <x v="10"/>
    <x v="251"/>
    <x v="251"/>
    <x v="0"/>
    <x v="247"/>
    <x v="246"/>
    <x v="251"/>
    <x v="4"/>
  </r>
  <r>
    <x v="12"/>
    <x v="10"/>
    <x v="252"/>
    <x v="252"/>
    <x v="0"/>
    <x v="248"/>
    <x v="247"/>
    <x v="252"/>
    <x v="1"/>
  </r>
  <r>
    <x v="13"/>
    <x v="10"/>
    <x v="253"/>
    <x v="253"/>
    <x v="0"/>
    <x v="81"/>
    <x v="248"/>
    <x v="253"/>
    <x v="2"/>
  </r>
  <r>
    <x v="14"/>
    <x v="10"/>
    <x v="254"/>
    <x v="254"/>
    <x v="0"/>
    <x v="54"/>
    <x v="249"/>
    <x v="254"/>
    <x v="2"/>
  </r>
  <r>
    <x v="15"/>
    <x v="10"/>
    <x v="255"/>
    <x v="255"/>
    <x v="0"/>
    <x v="249"/>
    <x v="250"/>
    <x v="255"/>
    <x v="3"/>
  </r>
  <r>
    <x v="16"/>
    <x v="11"/>
    <x v="256"/>
    <x v="256"/>
    <x v="3"/>
    <x v="250"/>
    <x v="251"/>
    <x v="256"/>
    <x v="4"/>
  </r>
  <r>
    <x v="17"/>
    <x v="10"/>
    <x v="257"/>
    <x v="257"/>
    <x v="0"/>
    <x v="251"/>
    <x v="252"/>
    <x v="257"/>
    <x v="1"/>
  </r>
  <r>
    <x v="0"/>
    <x v="9"/>
    <x v="258"/>
    <x v="258"/>
    <x v="7"/>
    <x v="252"/>
    <x v="253"/>
    <x v="258"/>
    <x v="0"/>
  </r>
  <r>
    <x v="18"/>
    <x v="10"/>
    <x v="259"/>
    <x v="259"/>
    <x v="0"/>
    <x v="249"/>
    <x v="254"/>
    <x v="259"/>
    <x v="4"/>
  </r>
  <r>
    <x v="1"/>
    <x v="9"/>
    <x v="260"/>
    <x v="260"/>
    <x v="7"/>
    <x v="253"/>
    <x v="255"/>
    <x v="260"/>
    <x v="0"/>
  </r>
  <r>
    <x v="19"/>
    <x v="10"/>
    <x v="261"/>
    <x v="261"/>
    <x v="0"/>
    <x v="254"/>
    <x v="256"/>
    <x v="261"/>
    <x v="3"/>
  </r>
  <r>
    <x v="20"/>
    <x v="10"/>
    <x v="262"/>
    <x v="262"/>
    <x v="0"/>
    <x v="255"/>
    <x v="257"/>
    <x v="262"/>
    <x v="2"/>
  </r>
  <r>
    <x v="2"/>
    <x v="9"/>
    <x v="263"/>
    <x v="263"/>
    <x v="7"/>
    <x v="256"/>
    <x v="258"/>
    <x v="263"/>
    <x v="0"/>
  </r>
  <r>
    <x v="21"/>
    <x v="10"/>
    <x v="264"/>
    <x v="264"/>
    <x v="0"/>
    <x v="257"/>
    <x v="259"/>
    <x v="264"/>
    <x v="0"/>
  </r>
  <r>
    <x v="22"/>
    <x v="10"/>
    <x v="265"/>
    <x v="265"/>
    <x v="0"/>
    <x v="258"/>
    <x v="260"/>
    <x v="265"/>
    <x v="4"/>
  </r>
  <r>
    <x v="23"/>
    <x v="10"/>
    <x v="266"/>
    <x v="266"/>
    <x v="0"/>
    <x v="259"/>
    <x v="261"/>
    <x v="266"/>
    <x v="3"/>
  </r>
  <r>
    <x v="24"/>
    <x v="10"/>
    <x v="267"/>
    <x v="267"/>
    <x v="0"/>
    <x v="260"/>
    <x v="262"/>
    <x v="267"/>
    <x v="3"/>
  </r>
  <r>
    <x v="25"/>
    <x v="10"/>
    <x v="268"/>
    <x v="268"/>
    <x v="0"/>
    <x v="261"/>
    <x v="263"/>
    <x v="268"/>
    <x v="3"/>
  </r>
  <r>
    <x v="26"/>
    <x v="10"/>
    <x v="269"/>
    <x v="269"/>
    <x v="0"/>
    <x v="262"/>
    <x v="264"/>
    <x v="269"/>
    <x v="2"/>
  </r>
  <r>
    <x v="3"/>
    <x v="11"/>
    <x v="270"/>
    <x v="270"/>
    <x v="4"/>
    <x v="263"/>
    <x v="265"/>
    <x v="270"/>
    <x v="1"/>
  </r>
  <r>
    <x v="4"/>
    <x v="11"/>
    <x v="271"/>
    <x v="271"/>
    <x v="4"/>
    <x v="264"/>
    <x v="266"/>
    <x v="271"/>
    <x v="2"/>
  </r>
  <r>
    <x v="5"/>
    <x v="11"/>
    <x v="272"/>
    <x v="272"/>
    <x v="4"/>
    <x v="265"/>
    <x v="11"/>
    <x v="272"/>
    <x v="1"/>
  </r>
  <r>
    <x v="6"/>
    <x v="11"/>
    <x v="273"/>
    <x v="273"/>
    <x v="4"/>
    <x v="25"/>
    <x v="267"/>
    <x v="273"/>
    <x v="3"/>
  </r>
  <r>
    <x v="7"/>
    <x v="11"/>
    <x v="274"/>
    <x v="274"/>
    <x v="4"/>
    <x v="266"/>
    <x v="268"/>
    <x v="274"/>
    <x v="3"/>
  </r>
  <r>
    <x v="9"/>
    <x v="11"/>
    <x v="275"/>
    <x v="275"/>
    <x v="4"/>
    <x v="267"/>
    <x v="269"/>
    <x v="275"/>
    <x v="4"/>
  </r>
  <r>
    <x v="10"/>
    <x v="11"/>
    <x v="276"/>
    <x v="276"/>
    <x v="2"/>
    <x v="268"/>
    <x v="270"/>
    <x v="276"/>
    <x v="0"/>
  </r>
  <r>
    <x v="11"/>
    <x v="11"/>
    <x v="277"/>
    <x v="277"/>
    <x v="4"/>
    <x v="269"/>
    <x v="101"/>
    <x v="277"/>
    <x v="4"/>
  </r>
  <r>
    <x v="12"/>
    <x v="11"/>
    <x v="278"/>
    <x v="278"/>
    <x v="4"/>
    <x v="270"/>
    <x v="271"/>
    <x v="278"/>
    <x v="1"/>
  </r>
  <r>
    <x v="13"/>
    <x v="11"/>
    <x v="279"/>
    <x v="279"/>
    <x v="4"/>
    <x v="271"/>
    <x v="272"/>
    <x v="279"/>
    <x v="2"/>
  </r>
  <r>
    <x v="14"/>
    <x v="11"/>
    <x v="280"/>
    <x v="280"/>
    <x v="4"/>
    <x v="272"/>
    <x v="273"/>
    <x v="280"/>
    <x v="2"/>
  </r>
  <r>
    <x v="15"/>
    <x v="11"/>
    <x v="281"/>
    <x v="281"/>
    <x v="4"/>
    <x v="273"/>
    <x v="274"/>
    <x v="281"/>
    <x v="3"/>
  </r>
  <r>
    <x v="17"/>
    <x v="11"/>
    <x v="282"/>
    <x v="282"/>
    <x v="4"/>
    <x v="274"/>
    <x v="275"/>
    <x v="282"/>
    <x v="1"/>
  </r>
  <r>
    <x v="0"/>
    <x v="10"/>
    <x v="283"/>
    <x v="283"/>
    <x v="16"/>
    <x v="275"/>
    <x v="276"/>
    <x v="283"/>
    <x v="0"/>
  </r>
  <r>
    <x v="18"/>
    <x v="11"/>
    <x v="284"/>
    <x v="284"/>
    <x v="4"/>
    <x v="276"/>
    <x v="277"/>
    <x v="284"/>
    <x v="4"/>
  </r>
  <r>
    <x v="1"/>
    <x v="10"/>
    <x v="285"/>
    <x v="285"/>
    <x v="16"/>
    <x v="277"/>
    <x v="278"/>
    <x v="285"/>
    <x v="0"/>
  </r>
  <r>
    <x v="19"/>
    <x v="11"/>
    <x v="286"/>
    <x v="286"/>
    <x v="4"/>
    <x v="278"/>
    <x v="279"/>
    <x v="286"/>
    <x v="3"/>
  </r>
  <r>
    <x v="20"/>
    <x v="11"/>
    <x v="287"/>
    <x v="287"/>
    <x v="4"/>
    <x v="279"/>
    <x v="280"/>
    <x v="287"/>
    <x v="2"/>
  </r>
  <r>
    <x v="2"/>
    <x v="10"/>
    <x v="288"/>
    <x v="288"/>
    <x v="16"/>
    <x v="280"/>
    <x v="281"/>
    <x v="288"/>
    <x v="0"/>
  </r>
  <r>
    <x v="21"/>
    <x v="11"/>
    <x v="289"/>
    <x v="289"/>
    <x v="2"/>
    <x v="281"/>
    <x v="282"/>
    <x v="289"/>
    <x v="0"/>
  </r>
  <r>
    <x v="22"/>
    <x v="11"/>
    <x v="290"/>
    <x v="290"/>
    <x v="4"/>
    <x v="282"/>
    <x v="283"/>
    <x v="290"/>
    <x v="4"/>
  </r>
  <r>
    <x v="23"/>
    <x v="11"/>
    <x v="291"/>
    <x v="291"/>
    <x v="4"/>
    <x v="283"/>
    <x v="284"/>
    <x v="291"/>
    <x v="3"/>
  </r>
  <r>
    <x v="24"/>
    <x v="11"/>
    <x v="292"/>
    <x v="292"/>
    <x v="4"/>
    <x v="18"/>
    <x v="285"/>
    <x v="292"/>
    <x v="3"/>
  </r>
  <r>
    <x v="25"/>
    <x v="11"/>
    <x v="293"/>
    <x v="293"/>
    <x v="4"/>
    <x v="284"/>
    <x v="286"/>
    <x v="293"/>
    <x v="3"/>
  </r>
  <r>
    <x v="26"/>
    <x v="11"/>
    <x v="294"/>
    <x v="294"/>
    <x v="4"/>
    <x v="285"/>
    <x v="287"/>
    <x v="294"/>
    <x v="2"/>
  </r>
  <r>
    <x v="8"/>
    <x v="12"/>
    <x v="295"/>
    <x v="295"/>
    <x v="17"/>
    <x v="286"/>
    <x v="288"/>
    <x v="295"/>
    <x v="4"/>
  </r>
  <r>
    <x v="16"/>
    <x v="12"/>
    <x v="296"/>
    <x v="296"/>
    <x v="17"/>
    <x v="287"/>
    <x v="289"/>
    <x v="296"/>
    <x v="4"/>
  </r>
  <r>
    <x v="0"/>
    <x v="11"/>
    <x v="297"/>
    <x v="297"/>
    <x v="1"/>
    <x v="288"/>
    <x v="290"/>
    <x v="297"/>
    <x v="0"/>
  </r>
  <r>
    <x v="1"/>
    <x v="11"/>
    <x v="298"/>
    <x v="298"/>
    <x v="2"/>
    <x v="289"/>
    <x v="291"/>
    <x v="298"/>
    <x v="0"/>
  </r>
  <r>
    <x v="2"/>
    <x v="11"/>
    <x v="299"/>
    <x v="299"/>
    <x v="2"/>
    <x v="290"/>
    <x v="292"/>
    <x v="299"/>
    <x v="0"/>
  </r>
  <r>
    <x v="3"/>
    <x v="12"/>
    <x v="300"/>
    <x v="300"/>
    <x v="18"/>
    <x v="291"/>
    <x v="293"/>
    <x v="300"/>
    <x v="1"/>
  </r>
  <r>
    <x v="4"/>
    <x v="12"/>
    <x v="301"/>
    <x v="301"/>
    <x v="18"/>
    <x v="292"/>
    <x v="294"/>
    <x v="301"/>
    <x v="2"/>
  </r>
  <r>
    <x v="5"/>
    <x v="12"/>
    <x v="302"/>
    <x v="302"/>
    <x v="18"/>
    <x v="293"/>
    <x v="295"/>
    <x v="302"/>
    <x v="1"/>
  </r>
  <r>
    <x v="6"/>
    <x v="12"/>
    <x v="303"/>
    <x v="303"/>
    <x v="17"/>
    <x v="294"/>
    <x v="296"/>
    <x v="303"/>
    <x v="3"/>
  </r>
  <r>
    <x v="7"/>
    <x v="12"/>
    <x v="304"/>
    <x v="304"/>
    <x v="17"/>
    <x v="295"/>
    <x v="297"/>
    <x v="304"/>
    <x v="3"/>
  </r>
  <r>
    <x v="8"/>
    <x v="13"/>
    <x v="305"/>
    <x v="305"/>
    <x v="19"/>
    <x v="296"/>
    <x v="298"/>
    <x v="305"/>
    <x v="4"/>
  </r>
  <r>
    <x v="9"/>
    <x v="12"/>
    <x v="306"/>
    <x v="306"/>
    <x v="17"/>
    <x v="297"/>
    <x v="299"/>
    <x v="306"/>
    <x v="4"/>
  </r>
  <r>
    <x v="10"/>
    <x v="12"/>
    <x v="307"/>
    <x v="307"/>
    <x v="17"/>
    <x v="298"/>
    <x v="300"/>
    <x v="307"/>
    <x v="0"/>
  </r>
  <r>
    <x v="11"/>
    <x v="12"/>
    <x v="308"/>
    <x v="308"/>
    <x v="17"/>
    <x v="299"/>
    <x v="301"/>
    <x v="308"/>
    <x v="4"/>
  </r>
  <r>
    <x v="12"/>
    <x v="12"/>
    <x v="309"/>
    <x v="309"/>
    <x v="18"/>
    <x v="300"/>
    <x v="302"/>
    <x v="309"/>
    <x v="1"/>
  </r>
  <r>
    <x v="13"/>
    <x v="12"/>
    <x v="310"/>
    <x v="310"/>
    <x v="18"/>
    <x v="301"/>
    <x v="303"/>
    <x v="310"/>
    <x v="2"/>
  </r>
  <r>
    <x v="14"/>
    <x v="12"/>
    <x v="311"/>
    <x v="311"/>
    <x v="18"/>
    <x v="302"/>
    <x v="304"/>
    <x v="311"/>
    <x v="2"/>
  </r>
  <r>
    <x v="15"/>
    <x v="12"/>
    <x v="312"/>
    <x v="312"/>
    <x v="17"/>
    <x v="303"/>
    <x v="305"/>
    <x v="312"/>
    <x v="3"/>
  </r>
  <r>
    <x v="16"/>
    <x v="13"/>
    <x v="313"/>
    <x v="313"/>
    <x v="19"/>
    <x v="304"/>
    <x v="306"/>
    <x v="313"/>
    <x v="4"/>
  </r>
  <r>
    <x v="17"/>
    <x v="12"/>
    <x v="314"/>
    <x v="314"/>
    <x v="18"/>
    <x v="305"/>
    <x v="307"/>
    <x v="314"/>
    <x v="1"/>
  </r>
  <r>
    <x v="18"/>
    <x v="12"/>
    <x v="315"/>
    <x v="315"/>
    <x v="17"/>
    <x v="306"/>
    <x v="308"/>
    <x v="315"/>
    <x v="4"/>
  </r>
  <r>
    <x v="19"/>
    <x v="12"/>
    <x v="316"/>
    <x v="316"/>
    <x v="17"/>
    <x v="307"/>
    <x v="293"/>
    <x v="316"/>
    <x v="3"/>
  </r>
  <r>
    <x v="20"/>
    <x v="12"/>
    <x v="317"/>
    <x v="317"/>
    <x v="18"/>
    <x v="308"/>
    <x v="309"/>
    <x v="317"/>
    <x v="2"/>
  </r>
  <r>
    <x v="21"/>
    <x v="12"/>
    <x v="318"/>
    <x v="318"/>
    <x v="17"/>
    <x v="309"/>
    <x v="310"/>
    <x v="318"/>
    <x v="0"/>
  </r>
  <r>
    <x v="22"/>
    <x v="12"/>
    <x v="319"/>
    <x v="319"/>
    <x v="17"/>
    <x v="310"/>
    <x v="311"/>
    <x v="319"/>
    <x v="4"/>
  </r>
  <r>
    <x v="23"/>
    <x v="12"/>
    <x v="320"/>
    <x v="320"/>
    <x v="17"/>
    <x v="311"/>
    <x v="312"/>
    <x v="320"/>
    <x v="3"/>
  </r>
  <r>
    <x v="24"/>
    <x v="12"/>
    <x v="321"/>
    <x v="321"/>
    <x v="17"/>
    <x v="312"/>
    <x v="313"/>
    <x v="321"/>
    <x v="3"/>
  </r>
  <r>
    <x v="25"/>
    <x v="12"/>
    <x v="322"/>
    <x v="322"/>
    <x v="17"/>
    <x v="313"/>
    <x v="314"/>
    <x v="322"/>
    <x v="3"/>
  </r>
  <r>
    <x v="26"/>
    <x v="12"/>
    <x v="323"/>
    <x v="323"/>
    <x v="18"/>
    <x v="314"/>
    <x v="315"/>
    <x v="323"/>
    <x v="2"/>
  </r>
  <r>
    <x v="3"/>
    <x v="13"/>
    <x v="324"/>
    <x v="324"/>
    <x v="19"/>
    <x v="315"/>
    <x v="316"/>
    <x v="324"/>
    <x v="1"/>
  </r>
  <r>
    <x v="4"/>
    <x v="13"/>
    <x v="325"/>
    <x v="325"/>
    <x v="19"/>
    <x v="316"/>
    <x v="317"/>
    <x v="325"/>
    <x v="2"/>
  </r>
  <r>
    <x v="5"/>
    <x v="13"/>
    <x v="326"/>
    <x v="326"/>
    <x v="19"/>
    <x v="317"/>
    <x v="318"/>
    <x v="326"/>
    <x v="1"/>
  </r>
  <r>
    <x v="6"/>
    <x v="13"/>
    <x v="327"/>
    <x v="327"/>
    <x v="19"/>
    <x v="318"/>
    <x v="319"/>
    <x v="327"/>
    <x v="3"/>
  </r>
  <r>
    <x v="7"/>
    <x v="13"/>
    <x v="328"/>
    <x v="328"/>
    <x v="19"/>
    <x v="319"/>
    <x v="320"/>
    <x v="328"/>
    <x v="3"/>
  </r>
  <r>
    <x v="9"/>
    <x v="13"/>
    <x v="329"/>
    <x v="329"/>
    <x v="19"/>
    <x v="320"/>
    <x v="321"/>
    <x v="329"/>
    <x v="4"/>
  </r>
  <r>
    <x v="10"/>
    <x v="13"/>
    <x v="330"/>
    <x v="330"/>
    <x v="19"/>
    <x v="321"/>
    <x v="322"/>
    <x v="330"/>
    <x v="0"/>
  </r>
  <r>
    <x v="11"/>
    <x v="13"/>
    <x v="331"/>
    <x v="331"/>
    <x v="19"/>
    <x v="322"/>
    <x v="323"/>
    <x v="331"/>
    <x v="4"/>
  </r>
  <r>
    <x v="12"/>
    <x v="13"/>
    <x v="332"/>
    <x v="332"/>
    <x v="19"/>
    <x v="323"/>
    <x v="324"/>
    <x v="332"/>
    <x v="1"/>
  </r>
  <r>
    <x v="13"/>
    <x v="13"/>
    <x v="333"/>
    <x v="333"/>
    <x v="19"/>
    <x v="324"/>
    <x v="325"/>
    <x v="333"/>
    <x v="2"/>
  </r>
  <r>
    <x v="14"/>
    <x v="13"/>
    <x v="334"/>
    <x v="334"/>
    <x v="19"/>
    <x v="325"/>
    <x v="326"/>
    <x v="334"/>
    <x v="2"/>
  </r>
  <r>
    <x v="15"/>
    <x v="13"/>
    <x v="335"/>
    <x v="335"/>
    <x v="19"/>
    <x v="326"/>
    <x v="327"/>
    <x v="335"/>
    <x v="3"/>
  </r>
  <r>
    <x v="17"/>
    <x v="13"/>
    <x v="336"/>
    <x v="336"/>
    <x v="19"/>
    <x v="327"/>
    <x v="328"/>
    <x v="336"/>
    <x v="1"/>
  </r>
  <r>
    <x v="0"/>
    <x v="12"/>
    <x v="337"/>
    <x v="337"/>
    <x v="17"/>
    <x v="328"/>
    <x v="329"/>
    <x v="337"/>
    <x v="0"/>
  </r>
  <r>
    <x v="18"/>
    <x v="13"/>
    <x v="338"/>
    <x v="338"/>
    <x v="19"/>
    <x v="329"/>
    <x v="330"/>
    <x v="338"/>
    <x v="4"/>
  </r>
  <r>
    <x v="1"/>
    <x v="12"/>
    <x v="339"/>
    <x v="339"/>
    <x v="17"/>
    <x v="330"/>
    <x v="331"/>
    <x v="339"/>
    <x v="0"/>
  </r>
  <r>
    <x v="19"/>
    <x v="13"/>
    <x v="340"/>
    <x v="340"/>
    <x v="19"/>
    <x v="331"/>
    <x v="332"/>
    <x v="340"/>
    <x v="3"/>
  </r>
  <r>
    <x v="20"/>
    <x v="13"/>
    <x v="341"/>
    <x v="341"/>
    <x v="19"/>
    <x v="332"/>
    <x v="333"/>
    <x v="341"/>
    <x v="2"/>
  </r>
  <r>
    <x v="2"/>
    <x v="12"/>
    <x v="342"/>
    <x v="342"/>
    <x v="18"/>
    <x v="333"/>
    <x v="334"/>
    <x v="342"/>
    <x v="0"/>
  </r>
  <r>
    <x v="21"/>
    <x v="13"/>
    <x v="343"/>
    <x v="343"/>
    <x v="19"/>
    <x v="334"/>
    <x v="335"/>
    <x v="343"/>
    <x v="0"/>
  </r>
  <r>
    <x v="22"/>
    <x v="13"/>
    <x v="344"/>
    <x v="344"/>
    <x v="19"/>
    <x v="335"/>
    <x v="336"/>
    <x v="344"/>
    <x v="4"/>
  </r>
  <r>
    <x v="23"/>
    <x v="13"/>
    <x v="345"/>
    <x v="345"/>
    <x v="19"/>
    <x v="336"/>
    <x v="337"/>
    <x v="345"/>
    <x v="3"/>
  </r>
  <r>
    <x v="24"/>
    <x v="13"/>
    <x v="346"/>
    <x v="346"/>
    <x v="19"/>
    <x v="337"/>
    <x v="338"/>
    <x v="346"/>
    <x v="3"/>
  </r>
  <r>
    <x v="25"/>
    <x v="13"/>
    <x v="347"/>
    <x v="347"/>
    <x v="19"/>
    <x v="338"/>
    <x v="339"/>
    <x v="347"/>
    <x v="3"/>
  </r>
  <r>
    <x v="26"/>
    <x v="13"/>
    <x v="348"/>
    <x v="348"/>
    <x v="19"/>
    <x v="339"/>
    <x v="340"/>
    <x v="348"/>
    <x v="2"/>
  </r>
  <r>
    <x v="8"/>
    <x v="14"/>
    <x v="349"/>
    <x v="349"/>
    <x v="0"/>
    <x v="340"/>
    <x v="341"/>
    <x v="349"/>
    <x v="4"/>
  </r>
  <r>
    <x v="16"/>
    <x v="14"/>
    <x v="350"/>
    <x v="350"/>
    <x v="0"/>
    <x v="341"/>
    <x v="77"/>
    <x v="350"/>
    <x v="4"/>
  </r>
  <r>
    <x v="0"/>
    <x v="13"/>
    <x v="351"/>
    <x v="351"/>
    <x v="19"/>
    <x v="342"/>
    <x v="342"/>
    <x v="351"/>
    <x v="0"/>
  </r>
  <r>
    <x v="1"/>
    <x v="13"/>
    <x v="352"/>
    <x v="352"/>
    <x v="19"/>
    <x v="343"/>
    <x v="343"/>
    <x v="352"/>
    <x v="0"/>
  </r>
  <r>
    <x v="2"/>
    <x v="13"/>
    <x v="353"/>
    <x v="353"/>
    <x v="19"/>
    <x v="344"/>
    <x v="344"/>
    <x v="353"/>
    <x v="0"/>
  </r>
  <r>
    <x v="3"/>
    <x v="14"/>
    <x v="354"/>
    <x v="354"/>
    <x v="16"/>
    <x v="345"/>
    <x v="345"/>
    <x v="354"/>
    <x v="1"/>
  </r>
  <r>
    <x v="4"/>
    <x v="14"/>
    <x v="355"/>
    <x v="355"/>
    <x v="7"/>
    <x v="346"/>
    <x v="346"/>
    <x v="355"/>
    <x v="2"/>
  </r>
  <r>
    <x v="5"/>
    <x v="14"/>
    <x v="266"/>
    <x v="356"/>
    <x v="16"/>
    <x v="347"/>
    <x v="347"/>
    <x v="356"/>
    <x v="1"/>
  </r>
  <r>
    <x v="6"/>
    <x v="14"/>
    <x v="356"/>
    <x v="357"/>
    <x v="0"/>
    <x v="348"/>
    <x v="348"/>
    <x v="357"/>
    <x v="3"/>
  </r>
  <r>
    <x v="7"/>
    <x v="14"/>
    <x v="357"/>
    <x v="358"/>
    <x v="0"/>
    <x v="349"/>
    <x v="247"/>
    <x v="358"/>
    <x v="3"/>
  </r>
  <r>
    <x v="9"/>
    <x v="14"/>
    <x v="358"/>
    <x v="359"/>
    <x v="0"/>
    <x v="350"/>
    <x v="349"/>
    <x v="359"/>
    <x v="4"/>
  </r>
  <r>
    <x v="10"/>
    <x v="15"/>
    <x v="359"/>
    <x v="360"/>
    <x v="20"/>
    <x v="351"/>
    <x v="256"/>
    <x v="360"/>
    <x v="0"/>
  </r>
  <r>
    <x v="11"/>
    <x v="14"/>
    <x v="360"/>
    <x v="361"/>
    <x v="0"/>
    <x v="352"/>
    <x v="350"/>
    <x v="361"/>
    <x v="4"/>
  </r>
  <r>
    <x v="12"/>
    <x v="14"/>
    <x v="361"/>
    <x v="362"/>
    <x v="0"/>
    <x v="221"/>
    <x v="351"/>
    <x v="362"/>
    <x v="1"/>
  </r>
  <r>
    <x v="13"/>
    <x v="14"/>
    <x v="362"/>
    <x v="363"/>
    <x v="3"/>
    <x v="353"/>
    <x v="352"/>
    <x v="363"/>
    <x v="2"/>
  </r>
  <r>
    <x v="14"/>
    <x v="14"/>
    <x v="363"/>
    <x v="364"/>
    <x v="7"/>
    <x v="354"/>
    <x v="353"/>
    <x v="364"/>
    <x v="2"/>
  </r>
  <r>
    <x v="15"/>
    <x v="14"/>
    <x v="364"/>
    <x v="365"/>
    <x v="0"/>
    <x v="221"/>
    <x v="354"/>
    <x v="365"/>
    <x v="3"/>
  </r>
  <r>
    <x v="17"/>
    <x v="14"/>
    <x v="365"/>
    <x v="366"/>
    <x v="0"/>
    <x v="355"/>
    <x v="355"/>
    <x v="366"/>
    <x v="1"/>
  </r>
  <r>
    <x v="18"/>
    <x v="14"/>
    <x v="366"/>
    <x v="367"/>
    <x v="0"/>
    <x v="356"/>
    <x v="356"/>
    <x v="367"/>
    <x v="4"/>
  </r>
  <r>
    <x v="19"/>
    <x v="14"/>
    <x v="367"/>
    <x v="368"/>
    <x v="0"/>
    <x v="357"/>
    <x v="357"/>
    <x v="368"/>
    <x v="3"/>
  </r>
  <r>
    <x v="20"/>
    <x v="14"/>
    <x v="368"/>
    <x v="369"/>
    <x v="3"/>
    <x v="358"/>
    <x v="278"/>
    <x v="369"/>
    <x v="2"/>
  </r>
  <r>
    <x v="21"/>
    <x v="14"/>
    <x v="369"/>
    <x v="370"/>
    <x v="3"/>
    <x v="359"/>
    <x v="358"/>
    <x v="370"/>
    <x v="0"/>
  </r>
  <r>
    <x v="22"/>
    <x v="14"/>
    <x v="370"/>
    <x v="371"/>
    <x v="0"/>
    <x v="57"/>
    <x v="359"/>
    <x v="371"/>
    <x v="4"/>
  </r>
  <r>
    <x v="23"/>
    <x v="14"/>
    <x v="371"/>
    <x v="372"/>
    <x v="0"/>
    <x v="360"/>
    <x v="221"/>
    <x v="372"/>
    <x v="3"/>
  </r>
  <r>
    <x v="24"/>
    <x v="14"/>
    <x v="372"/>
    <x v="373"/>
    <x v="0"/>
    <x v="361"/>
    <x v="360"/>
    <x v="373"/>
    <x v="3"/>
  </r>
  <r>
    <x v="25"/>
    <x v="14"/>
    <x v="373"/>
    <x v="374"/>
    <x v="0"/>
    <x v="362"/>
    <x v="64"/>
    <x v="374"/>
    <x v="3"/>
  </r>
  <r>
    <x v="26"/>
    <x v="14"/>
    <x v="374"/>
    <x v="375"/>
    <x v="3"/>
    <x v="363"/>
    <x v="361"/>
    <x v="375"/>
    <x v="2"/>
  </r>
  <r>
    <x v="10"/>
    <x v="14"/>
    <x v="375"/>
    <x v="376"/>
    <x v="3"/>
    <x v="364"/>
    <x v="362"/>
    <x v="376"/>
    <x v="0"/>
  </r>
  <r>
    <x v="27"/>
    <x v="0"/>
    <x v="376"/>
    <x v="377"/>
    <x v="0"/>
    <x v="365"/>
    <x v="363"/>
    <x v="377"/>
    <x v="5"/>
  </r>
  <r>
    <x v="0"/>
    <x v="16"/>
    <x v="377"/>
    <x v="378"/>
    <x v="21"/>
    <x v="366"/>
    <x v="364"/>
    <x v="378"/>
    <x v="0"/>
  </r>
  <r>
    <x v="1"/>
    <x v="15"/>
    <x v="378"/>
    <x v="379"/>
    <x v="20"/>
    <x v="367"/>
    <x v="365"/>
    <x v="379"/>
    <x v="0"/>
  </r>
  <r>
    <x v="28"/>
    <x v="0"/>
    <x v="379"/>
    <x v="380"/>
    <x v="0"/>
    <x v="368"/>
    <x v="366"/>
    <x v="380"/>
    <x v="0"/>
  </r>
  <r>
    <x v="2"/>
    <x v="15"/>
    <x v="380"/>
    <x v="381"/>
    <x v="20"/>
    <x v="369"/>
    <x v="367"/>
    <x v="381"/>
    <x v="0"/>
  </r>
  <r>
    <x v="29"/>
    <x v="1"/>
    <x v="381"/>
    <x v="382"/>
    <x v="2"/>
    <x v="370"/>
    <x v="368"/>
    <x v="382"/>
    <x v="0"/>
  </r>
  <r>
    <x v="30"/>
    <x v="1"/>
    <x v="382"/>
    <x v="383"/>
    <x v="1"/>
    <x v="371"/>
    <x v="369"/>
    <x v="383"/>
    <x v="2"/>
  </r>
  <r>
    <x v="0"/>
    <x v="17"/>
    <x v="383"/>
    <x v="384"/>
    <x v="22"/>
    <x v="372"/>
    <x v="370"/>
    <x v="384"/>
    <x v="0"/>
  </r>
  <r>
    <x v="31"/>
    <x v="1"/>
    <x v="384"/>
    <x v="385"/>
    <x v="1"/>
    <x v="373"/>
    <x v="192"/>
    <x v="385"/>
    <x v="1"/>
  </r>
  <r>
    <x v="1"/>
    <x v="14"/>
    <x v="385"/>
    <x v="386"/>
    <x v="3"/>
    <x v="374"/>
    <x v="371"/>
    <x v="386"/>
    <x v="0"/>
  </r>
  <r>
    <x v="2"/>
    <x v="14"/>
    <x v="386"/>
    <x v="387"/>
    <x v="3"/>
    <x v="375"/>
    <x v="372"/>
    <x v="387"/>
    <x v="0"/>
  </r>
  <r>
    <x v="32"/>
    <x v="1"/>
    <x v="387"/>
    <x v="388"/>
    <x v="1"/>
    <x v="376"/>
    <x v="85"/>
    <x v="388"/>
    <x v="2"/>
  </r>
  <r>
    <x v="33"/>
    <x v="1"/>
    <x v="388"/>
    <x v="389"/>
    <x v="1"/>
    <x v="377"/>
    <x v="373"/>
    <x v="389"/>
    <x v="1"/>
  </r>
  <r>
    <x v="34"/>
    <x v="1"/>
    <x v="389"/>
    <x v="390"/>
    <x v="1"/>
    <x v="196"/>
    <x v="374"/>
    <x v="390"/>
    <x v="1"/>
  </r>
  <r>
    <x v="27"/>
    <x v="1"/>
    <x v="390"/>
    <x v="391"/>
    <x v="1"/>
    <x v="378"/>
    <x v="375"/>
    <x v="391"/>
    <x v="5"/>
  </r>
  <r>
    <x v="0"/>
    <x v="15"/>
    <x v="391"/>
    <x v="392"/>
    <x v="20"/>
    <x v="379"/>
    <x v="376"/>
    <x v="392"/>
    <x v="0"/>
  </r>
  <r>
    <x v="28"/>
    <x v="1"/>
    <x v="392"/>
    <x v="393"/>
    <x v="2"/>
    <x v="380"/>
    <x v="377"/>
    <x v="393"/>
    <x v="0"/>
  </r>
  <r>
    <x v="29"/>
    <x v="2"/>
    <x v="393"/>
    <x v="394"/>
    <x v="5"/>
    <x v="381"/>
    <x v="378"/>
    <x v="394"/>
    <x v="0"/>
  </r>
  <r>
    <x v="30"/>
    <x v="2"/>
    <x v="394"/>
    <x v="395"/>
    <x v="5"/>
    <x v="382"/>
    <x v="379"/>
    <x v="395"/>
    <x v="2"/>
  </r>
  <r>
    <x v="27"/>
    <x v="2"/>
    <x v="395"/>
    <x v="396"/>
    <x v="5"/>
    <x v="383"/>
    <x v="380"/>
    <x v="396"/>
    <x v="5"/>
  </r>
  <r>
    <x v="0"/>
    <x v="14"/>
    <x v="396"/>
    <x v="397"/>
    <x v="3"/>
    <x v="384"/>
    <x v="381"/>
    <x v="397"/>
    <x v="0"/>
  </r>
  <r>
    <x v="31"/>
    <x v="2"/>
    <x v="397"/>
    <x v="398"/>
    <x v="5"/>
    <x v="185"/>
    <x v="382"/>
    <x v="398"/>
    <x v="1"/>
  </r>
  <r>
    <x v="32"/>
    <x v="2"/>
    <x v="398"/>
    <x v="399"/>
    <x v="5"/>
    <x v="385"/>
    <x v="383"/>
    <x v="399"/>
    <x v="2"/>
  </r>
  <r>
    <x v="33"/>
    <x v="2"/>
    <x v="399"/>
    <x v="400"/>
    <x v="5"/>
    <x v="386"/>
    <x v="384"/>
    <x v="400"/>
    <x v="1"/>
  </r>
  <r>
    <x v="34"/>
    <x v="2"/>
    <x v="400"/>
    <x v="401"/>
    <x v="5"/>
    <x v="387"/>
    <x v="385"/>
    <x v="401"/>
    <x v="1"/>
  </r>
  <r>
    <x v="29"/>
    <x v="3"/>
    <x v="401"/>
    <x v="402"/>
    <x v="6"/>
    <x v="388"/>
    <x v="386"/>
    <x v="402"/>
    <x v="0"/>
  </r>
  <r>
    <x v="30"/>
    <x v="3"/>
    <x v="402"/>
    <x v="403"/>
    <x v="6"/>
    <x v="389"/>
    <x v="387"/>
    <x v="403"/>
    <x v="2"/>
  </r>
  <r>
    <x v="27"/>
    <x v="3"/>
    <x v="403"/>
    <x v="404"/>
    <x v="6"/>
    <x v="390"/>
    <x v="388"/>
    <x v="404"/>
    <x v="5"/>
  </r>
  <r>
    <x v="31"/>
    <x v="3"/>
    <x v="404"/>
    <x v="405"/>
    <x v="6"/>
    <x v="391"/>
    <x v="389"/>
    <x v="405"/>
    <x v="1"/>
  </r>
  <r>
    <x v="28"/>
    <x v="2"/>
    <x v="405"/>
    <x v="406"/>
    <x v="5"/>
    <x v="392"/>
    <x v="390"/>
    <x v="406"/>
    <x v="0"/>
  </r>
  <r>
    <x v="32"/>
    <x v="3"/>
    <x v="406"/>
    <x v="407"/>
    <x v="6"/>
    <x v="393"/>
    <x v="391"/>
    <x v="407"/>
    <x v="2"/>
  </r>
  <r>
    <x v="33"/>
    <x v="3"/>
    <x v="246"/>
    <x v="408"/>
    <x v="6"/>
    <x v="394"/>
    <x v="392"/>
    <x v="408"/>
    <x v="1"/>
  </r>
  <r>
    <x v="34"/>
    <x v="3"/>
    <x v="407"/>
    <x v="409"/>
    <x v="6"/>
    <x v="395"/>
    <x v="248"/>
    <x v="409"/>
    <x v="1"/>
  </r>
  <r>
    <x v="28"/>
    <x v="3"/>
    <x v="408"/>
    <x v="410"/>
    <x v="6"/>
    <x v="396"/>
    <x v="393"/>
    <x v="410"/>
    <x v="0"/>
  </r>
  <r>
    <x v="29"/>
    <x v="4"/>
    <x v="409"/>
    <x v="411"/>
    <x v="2"/>
    <x v="370"/>
    <x v="394"/>
    <x v="411"/>
    <x v="0"/>
  </r>
  <r>
    <x v="30"/>
    <x v="4"/>
    <x v="410"/>
    <x v="412"/>
    <x v="2"/>
    <x v="397"/>
    <x v="395"/>
    <x v="412"/>
    <x v="2"/>
  </r>
  <r>
    <x v="27"/>
    <x v="4"/>
    <x v="411"/>
    <x v="413"/>
    <x v="2"/>
    <x v="398"/>
    <x v="396"/>
    <x v="413"/>
    <x v="5"/>
  </r>
  <r>
    <x v="31"/>
    <x v="4"/>
    <x v="412"/>
    <x v="414"/>
    <x v="4"/>
    <x v="399"/>
    <x v="397"/>
    <x v="414"/>
    <x v="1"/>
  </r>
  <r>
    <x v="32"/>
    <x v="4"/>
    <x v="413"/>
    <x v="415"/>
    <x v="4"/>
    <x v="400"/>
    <x v="398"/>
    <x v="415"/>
    <x v="2"/>
  </r>
  <r>
    <x v="33"/>
    <x v="4"/>
    <x v="414"/>
    <x v="416"/>
    <x v="4"/>
    <x v="401"/>
    <x v="399"/>
    <x v="416"/>
    <x v="1"/>
  </r>
  <r>
    <x v="34"/>
    <x v="4"/>
    <x v="415"/>
    <x v="417"/>
    <x v="4"/>
    <x v="402"/>
    <x v="400"/>
    <x v="417"/>
    <x v="1"/>
  </r>
  <r>
    <x v="28"/>
    <x v="4"/>
    <x v="416"/>
    <x v="418"/>
    <x v="2"/>
    <x v="403"/>
    <x v="401"/>
    <x v="418"/>
    <x v="0"/>
  </r>
  <r>
    <x v="29"/>
    <x v="5"/>
    <x v="417"/>
    <x v="419"/>
    <x v="8"/>
    <x v="404"/>
    <x v="402"/>
    <x v="419"/>
    <x v="0"/>
  </r>
  <r>
    <x v="30"/>
    <x v="5"/>
    <x v="418"/>
    <x v="420"/>
    <x v="8"/>
    <x v="405"/>
    <x v="403"/>
    <x v="420"/>
    <x v="2"/>
  </r>
  <r>
    <x v="27"/>
    <x v="5"/>
    <x v="419"/>
    <x v="421"/>
    <x v="9"/>
    <x v="406"/>
    <x v="404"/>
    <x v="421"/>
    <x v="5"/>
  </r>
  <r>
    <x v="31"/>
    <x v="5"/>
    <x v="420"/>
    <x v="422"/>
    <x v="8"/>
    <x v="407"/>
    <x v="405"/>
    <x v="422"/>
    <x v="1"/>
  </r>
  <r>
    <x v="32"/>
    <x v="5"/>
    <x v="421"/>
    <x v="423"/>
    <x v="8"/>
    <x v="408"/>
    <x v="406"/>
    <x v="423"/>
    <x v="2"/>
  </r>
  <r>
    <x v="33"/>
    <x v="5"/>
    <x v="422"/>
    <x v="424"/>
    <x v="8"/>
    <x v="409"/>
    <x v="407"/>
    <x v="424"/>
    <x v="1"/>
  </r>
  <r>
    <x v="34"/>
    <x v="5"/>
    <x v="423"/>
    <x v="425"/>
    <x v="8"/>
    <x v="410"/>
    <x v="408"/>
    <x v="425"/>
    <x v="1"/>
  </r>
  <r>
    <x v="29"/>
    <x v="6"/>
    <x v="424"/>
    <x v="426"/>
    <x v="11"/>
    <x v="411"/>
    <x v="409"/>
    <x v="426"/>
    <x v="0"/>
  </r>
  <r>
    <x v="30"/>
    <x v="6"/>
    <x v="425"/>
    <x v="427"/>
    <x v="10"/>
    <x v="412"/>
    <x v="410"/>
    <x v="427"/>
    <x v="2"/>
  </r>
  <r>
    <x v="27"/>
    <x v="6"/>
    <x v="426"/>
    <x v="428"/>
    <x v="23"/>
    <x v="413"/>
    <x v="411"/>
    <x v="428"/>
    <x v="5"/>
  </r>
  <r>
    <x v="31"/>
    <x v="6"/>
    <x v="427"/>
    <x v="429"/>
    <x v="10"/>
    <x v="414"/>
    <x v="412"/>
    <x v="429"/>
    <x v="1"/>
  </r>
  <r>
    <x v="28"/>
    <x v="5"/>
    <x v="428"/>
    <x v="430"/>
    <x v="8"/>
    <x v="415"/>
    <x v="413"/>
    <x v="430"/>
    <x v="0"/>
  </r>
  <r>
    <x v="32"/>
    <x v="6"/>
    <x v="429"/>
    <x v="431"/>
    <x v="10"/>
    <x v="416"/>
    <x v="414"/>
    <x v="431"/>
    <x v="2"/>
  </r>
  <r>
    <x v="33"/>
    <x v="6"/>
    <x v="430"/>
    <x v="432"/>
    <x v="10"/>
    <x v="417"/>
    <x v="415"/>
    <x v="432"/>
    <x v="1"/>
  </r>
  <r>
    <x v="34"/>
    <x v="6"/>
    <x v="431"/>
    <x v="433"/>
    <x v="10"/>
    <x v="418"/>
    <x v="416"/>
    <x v="433"/>
    <x v="1"/>
  </r>
  <r>
    <x v="29"/>
    <x v="7"/>
    <x v="432"/>
    <x v="434"/>
    <x v="12"/>
    <x v="419"/>
    <x v="417"/>
    <x v="434"/>
    <x v="0"/>
  </r>
  <r>
    <x v="30"/>
    <x v="7"/>
    <x v="433"/>
    <x v="435"/>
    <x v="12"/>
    <x v="420"/>
    <x v="418"/>
    <x v="435"/>
    <x v="2"/>
  </r>
  <r>
    <x v="27"/>
    <x v="7"/>
    <x v="434"/>
    <x v="436"/>
    <x v="13"/>
    <x v="421"/>
    <x v="419"/>
    <x v="436"/>
    <x v="5"/>
  </r>
  <r>
    <x v="31"/>
    <x v="7"/>
    <x v="435"/>
    <x v="437"/>
    <x v="12"/>
    <x v="422"/>
    <x v="420"/>
    <x v="437"/>
    <x v="1"/>
  </r>
  <r>
    <x v="28"/>
    <x v="6"/>
    <x v="436"/>
    <x v="438"/>
    <x v="11"/>
    <x v="423"/>
    <x v="421"/>
    <x v="438"/>
    <x v="0"/>
  </r>
  <r>
    <x v="32"/>
    <x v="7"/>
    <x v="437"/>
    <x v="439"/>
    <x v="12"/>
    <x v="424"/>
    <x v="422"/>
    <x v="439"/>
    <x v="2"/>
  </r>
  <r>
    <x v="33"/>
    <x v="7"/>
    <x v="438"/>
    <x v="440"/>
    <x v="12"/>
    <x v="425"/>
    <x v="423"/>
    <x v="440"/>
    <x v="1"/>
  </r>
  <r>
    <x v="34"/>
    <x v="7"/>
    <x v="439"/>
    <x v="441"/>
    <x v="12"/>
    <x v="426"/>
    <x v="424"/>
    <x v="441"/>
    <x v="1"/>
  </r>
  <r>
    <x v="29"/>
    <x v="8"/>
    <x v="440"/>
    <x v="442"/>
    <x v="1"/>
    <x v="427"/>
    <x v="425"/>
    <x v="442"/>
    <x v="0"/>
  </r>
  <r>
    <x v="30"/>
    <x v="8"/>
    <x v="441"/>
    <x v="443"/>
    <x v="1"/>
    <x v="428"/>
    <x v="426"/>
    <x v="443"/>
    <x v="2"/>
  </r>
  <r>
    <x v="27"/>
    <x v="8"/>
    <x v="442"/>
    <x v="444"/>
    <x v="14"/>
    <x v="429"/>
    <x v="427"/>
    <x v="444"/>
    <x v="5"/>
  </r>
  <r>
    <x v="31"/>
    <x v="8"/>
    <x v="443"/>
    <x v="445"/>
    <x v="1"/>
    <x v="430"/>
    <x v="428"/>
    <x v="445"/>
    <x v="1"/>
  </r>
  <r>
    <x v="28"/>
    <x v="7"/>
    <x v="444"/>
    <x v="446"/>
    <x v="13"/>
    <x v="431"/>
    <x v="429"/>
    <x v="446"/>
    <x v="0"/>
  </r>
  <r>
    <x v="32"/>
    <x v="8"/>
    <x v="445"/>
    <x v="447"/>
    <x v="1"/>
    <x v="398"/>
    <x v="3"/>
    <x v="447"/>
    <x v="2"/>
  </r>
  <r>
    <x v="33"/>
    <x v="8"/>
    <x v="446"/>
    <x v="448"/>
    <x v="1"/>
    <x v="432"/>
    <x v="430"/>
    <x v="448"/>
    <x v="1"/>
  </r>
  <r>
    <x v="34"/>
    <x v="8"/>
    <x v="447"/>
    <x v="449"/>
    <x v="1"/>
    <x v="433"/>
    <x v="431"/>
    <x v="449"/>
    <x v="1"/>
  </r>
  <r>
    <x v="28"/>
    <x v="8"/>
    <x v="448"/>
    <x v="450"/>
    <x v="15"/>
    <x v="28"/>
    <x v="432"/>
    <x v="450"/>
    <x v="0"/>
  </r>
  <r>
    <x v="29"/>
    <x v="9"/>
    <x v="449"/>
    <x v="451"/>
    <x v="7"/>
    <x v="434"/>
    <x v="433"/>
    <x v="451"/>
    <x v="0"/>
  </r>
  <r>
    <x v="30"/>
    <x v="9"/>
    <x v="450"/>
    <x v="452"/>
    <x v="7"/>
    <x v="435"/>
    <x v="434"/>
    <x v="452"/>
    <x v="2"/>
  </r>
  <r>
    <x v="27"/>
    <x v="9"/>
    <x v="451"/>
    <x v="453"/>
    <x v="7"/>
    <x v="436"/>
    <x v="435"/>
    <x v="453"/>
    <x v="5"/>
  </r>
  <r>
    <x v="31"/>
    <x v="9"/>
    <x v="452"/>
    <x v="454"/>
    <x v="0"/>
    <x v="246"/>
    <x v="436"/>
    <x v="454"/>
    <x v="1"/>
  </r>
  <r>
    <x v="32"/>
    <x v="9"/>
    <x v="453"/>
    <x v="455"/>
    <x v="16"/>
    <x v="437"/>
    <x v="437"/>
    <x v="455"/>
    <x v="2"/>
  </r>
  <r>
    <x v="33"/>
    <x v="9"/>
    <x v="454"/>
    <x v="456"/>
    <x v="0"/>
    <x v="354"/>
    <x v="438"/>
    <x v="456"/>
    <x v="1"/>
  </r>
  <r>
    <x v="34"/>
    <x v="9"/>
    <x v="455"/>
    <x v="457"/>
    <x v="0"/>
    <x v="438"/>
    <x v="439"/>
    <x v="457"/>
    <x v="1"/>
  </r>
  <r>
    <x v="29"/>
    <x v="10"/>
    <x v="456"/>
    <x v="458"/>
    <x v="0"/>
    <x v="439"/>
    <x v="440"/>
    <x v="458"/>
    <x v="0"/>
  </r>
  <r>
    <x v="30"/>
    <x v="10"/>
    <x v="457"/>
    <x v="459"/>
    <x v="0"/>
    <x v="440"/>
    <x v="441"/>
    <x v="459"/>
    <x v="2"/>
  </r>
  <r>
    <x v="27"/>
    <x v="10"/>
    <x v="458"/>
    <x v="460"/>
    <x v="16"/>
    <x v="441"/>
    <x v="442"/>
    <x v="460"/>
    <x v="5"/>
  </r>
  <r>
    <x v="31"/>
    <x v="10"/>
    <x v="459"/>
    <x v="461"/>
    <x v="0"/>
    <x v="442"/>
    <x v="443"/>
    <x v="461"/>
    <x v="1"/>
  </r>
  <r>
    <x v="28"/>
    <x v="9"/>
    <x v="460"/>
    <x v="462"/>
    <x v="7"/>
    <x v="443"/>
    <x v="444"/>
    <x v="462"/>
    <x v="0"/>
  </r>
  <r>
    <x v="32"/>
    <x v="10"/>
    <x v="461"/>
    <x v="463"/>
    <x v="0"/>
    <x v="444"/>
    <x v="445"/>
    <x v="463"/>
    <x v="2"/>
  </r>
  <r>
    <x v="33"/>
    <x v="10"/>
    <x v="462"/>
    <x v="464"/>
    <x v="0"/>
    <x v="78"/>
    <x v="446"/>
    <x v="464"/>
    <x v="1"/>
  </r>
  <r>
    <x v="34"/>
    <x v="10"/>
    <x v="463"/>
    <x v="465"/>
    <x v="0"/>
    <x v="445"/>
    <x v="447"/>
    <x v="465"/>
    <x v="1"/>
  </r>
  <r>
    <x v="29"/>
    <x v="11"/>
    <x v="464"/>
    <x v="466"/>
    <x v="2"/>
    <x v="446"/>
    <x v="400"/>
    <x v="466"/>
    <x v="0"/>
  </r>
  <r>
    <x v="30"/>
    <x v="11"/>
    <x v="465"/>
    <x v="467"/>
    <x v="4"/>
    <x v="447"/>
    <x v="448"/>
    <x v="467"/>
    <x v="2"/>
  </r>
  <r>
    <x v="27"/>
    <x v="11"/>
    <x v="466"/>
    <x v="468"/>
    <x v="1"/>
    <x v="212"/>
    <x v="449"/>
    <x v="468"/>
    <x v="5"/>
  </r>
  <r>
    <x v="31"/>
    <x v="11"/>
    <x v="467"/>
    <x v="469"/>
    <x v="4"/>
    <x v="448"/>
    <x v="450"/>
    <x v="469"/>
    <x v="1"/>
  </r>
  <r>
    <x v="28"/>
    <x v="10"/>
    <x v="468"/>
    <x v="470"/>
    <x v="16"/>
    <x v="449"/>
    <x v="451"/>
    <x v="470"/>
    <x v="0"/>
  </r>
  <r>
    <x v="32"/>
    <x v="11"/>
    <x v="469"/>
    <x v="471"/>
    <x v="4"/>
    <x v="450"/>
    <x v="452"/>
    <x v="471"/>
    <x v="2"/>
  </r>
  <r>
    <x v="33"/>
    <x v="11"/>
    <x v="470"/>
    <x v="472"/>
    <x v="4"/>
    <x v="451"/>
    <x v="453"/>
    <x v="472"/>
    <x v="1"/>
  </r>
  <r>
    <x v="34"/>
    <x v="11"/>
    <x v="471"/>
    <x v="473"/>
    <x v="4"/>
    <x v="452"/>
    <x v="454"/>
    <x v="473"/>
    <x v="1"/>
  </r>
  <r>
    <x v="28"/>
    <x v="11"/>
    <x v="472"/>
    <x v="474"/>
    <x v="2"/>
    <x v="453"/>
    <x v="455"/>
    <x v="474"/>
    <x v="0"/>
  </r>
  <r>
    <x v="29"/>
    <x v="12"/>
    <x v="473"/>
    <x v="475"/>
    <x v="17"/>
    <x v="454"/>
    <x v="456"/>
    <x v="475"/>
    <x v="0"/>
  </r>
  <r>
    <x v="30"/>
    <x v="12"/>
    <x v="474"/>
    <x v="476"/>
    <x v="18"/>
    <x v="455"/>
    <x v="457"/>
    <x v="476"/>
    <x v="2"/>
  </r>
  <r>
    <x v="27"/>
    <x v="12"/>
    <x v="475"/>
    <x v="477"/>
    <x v="17"/>
    <x v="456"/>
    <x v="458"/>
    <x v="477"/>
    <x v="5"/>
  </r>
  <r>
    <x v="31"/>
    <x v="12"/>
    <x v="476"/>
    <x v="478"/>
    <x v="18"/>
    <x v="457"/>
    <x v="459"/>
    <x v="478"/>
    <x v="1"/>
  </r>
  <r>
    <x v="32"/>
    <x v="12"/>
    <x v="477"/>
    <x v="479"/>
    <x v="18"/>
    <x v="458"/>
    <x v="460"/>
    <x v="479"/>
    <x v="2"/>
  </r>
  <r>
    <x v="33"/>
    <x v="12"/>
    <x v="478"/>
    <x v="480"/>
    <x v="18"/>
    <x v="459"/>
    <x v="461"/>
    <x v="480"/>
    <x v="1"/>
  </r>
  <r>
    <x v="34"/>
    <x v="12"/>
    <x v="479"/>
    <x v="481"/>
    <x v="18"/>
    <x v="460"/>
    <x v="462"/>
    <x v="481"/>
    <x v="1"/>
  </r>
  <r>
    <x v="29"/>
    <x v="13"/>
    <x v="480"/>
    <x v="482"/>
    <x v="19"/>
    <x v="461"/>
    <x v="463"/>
    <x v="482"/>
    <x v="0"/>
  </r>
  <r>
    <x v="30"/>
    <x v="13"/>
    <x v="481"/>
    <x v="483"/>
    <x v="19"/>
    <x v="462"/>
    <x v="464"/>
    <x v="483"/>
    <x v="2"/>
  </r>
  <r>
    <x v="27"/>
    <x v="13"/>
    <x v="482"/>
    <x v="484"/>
    <x v="19"/>
    <x v="463"/>
    <x v="465"/>
    <x v="484"/>
    <x v="5"/>
  </r>
  <r>
    <x v="31"/>
    <x v="13"/>
    <x v="483"/>
    <x v="485"/>
    <x v="19"/>
    <x v="464"/>
    <x v="466"/>
    <x v="485"/>
    <x v="1"/>
  </r>
  <r>
    <x v="28"/>
    <x v="12"/>
    <x v="484"/>
    <x v="486"/>
    <x v="17"/>
    <x v="465"/>
    <x v="467"/>
    <x v="486"/>
    <x v="0"/>
  </r>
  <r>
    <x v="32"/>
    <x v="13"/>
    <x v="485"/>
    <x v="487"/>
    <x v="19"/>
    <x v="466"/>
    <x v="468"/>
    <x v="487"/>
    <x v="2"/>
  </r>
  <r>
    <x v="33"/>
    <x v="13"/>
    <x v="486"/>
    <x v="488"/>
    <x v="19"/>
    <x v="467"/>
    <x v="469"/>
    <x v="488"/>
    <x v="1"/>
  </r>
  <r>
    <x v="34"/>
    <x v="13"/>
    <x v="487"/>
    <x v="489"/>
    <x v="19"/>
    <x v="468"/>
    <x v="470"/>
    <x v="489"/>
    <x v="1"/>
  </r>
  <r>
    <x v="28"/>
    <x v="13"/>
    <x v="488"/>
    <x v="490"/>
    <x v="19"/>
    <x v="469"/>
    <x v="471"/>
    <x v="490"/>
    <x v="0"/>
  </r>
  <r>
    <x v="29"/>
    <x v="15"/>
    <x v="489"/>
    <x v="491"/>
    <x v="20"/>
    <x v="470"/>
    <x v="366"/>
    <x v="491"/>
    <x v="0"/>
  </r>
  <r>
    <x v="30"/>
    <x v="14"/>
    <x v="490"/>
    <x v="492"/>
    <x v="3"/>
    <x v="471"/>
    <x v="387"/>
    <x v="492"/>
    <x v="2"/>
  </r>
  <r>
    <x v="27"/>
    <x v="16"/>
    <x v="491"/>
    <x v="493"/>
    <x v="21"/>
    <x v="247"/>
    <x v="472"/>
    <x v="493"/>
    <x v="5"/>
  </r>
  <r>
    <x v="31"/>
    <x v="14"/>
    <x v="492"/>
    <x v="494"/>
    <x v="0"/>
    <x v="348"/>
    <x v="473"/>
    <x v="494"/>
    <x v="1"/>
  </r>
  <r>
    <x v="32"/>
    <x v="14"/>
    <x v="493"/>
    <x v="495"/>
    <x v="16"/>
    <x v="472"/>
    <x v="474"/>
    <x v="495"/>
    <x v="2"/>
  </r>
  <r>
    <x v="33"/>
    <x v="14"/>
    <x v="494"/>
    <x v="496"/>
    <x v="16"/>
    <x v="473"/>
    <x v="475"/>
    <x v="496"/>
    <x v="1"/>
  </r>
  <r>
    <x v="34"/>
    <x v="14"/>
    <x v="495"/>
    <x v="497"/>
    <x v="16"/>
    <x v="474"/>
    <x v="476"/>
    <x v="497"/>
    <x v="1"/>
  </r>
  <r>
    <x v="29"/>
    <x v="14"/>
    <x v="496"/>
    <x v="498"/>
    <x v="3"/>
    <x v="475"/>
    <x v="451"/>
    <x v="498"/>
    <x v="0"/>
  </r>
  <r>
    <x v="27"/>
    <x v="17"/>
    <x v="497"/>
    <x v="499"/>
    <x v="22"/>
    <x v="476"/>
    <x v="477"/>
    <x v="499"/>
    <x v="5"/>
  </r>
  <r>
    <x v="28"/>
    <x v="15"/>
    <x v="498"/>
    <x v="500"/>
    <x v="20"/>
    <x v="477"/>
    <x v="478"/>
    <x v="500"/>
    <x v="0"/>
  </r>
  <r>
    <x v="27"/>
    <x v="15"/>
    <x v="499"/>
    <x v="501"/>
    <x v="20"/>
    <x v="478"/>
    <x v="479"/>
    <x v="501"/>
    <x v="5"/>
  </r>
  <r>
    <x v="28"/>
    <x v="14"/>
    <x v="500"/>
    <x v="502"/>
    <x v="3"/>
    <x v="479"/>
    <x v="480"/>
    <x v="502"/>
    <x v="0"/>
  </r>
  <r>
    <x v="27"/>
    <x v="14"/>
    <x v="501"/>
    <x v="503"/>
    <x v="3"/>
    <x v="480"/>
    <x v="481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_x000a_таблица1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3:C7" firstHeaderRow="0" firstDataRow="1" firstDataCol="1" rowPageCount="1" colPageCount="1"/>
  <pivotFields count="9">
    <pivotField compact="0" numFmtId="178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measureFilter="1" compact="0" sortType="descending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503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t="default"/>
      </items>
    </pivotField>
    <pivotField dataField="1" compact="0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compact="0" showAll="0">
      <items count="25">
        <item x="22"/>
        <item x="20"/>
        <item x="21"/>
        <item x="6"/>
        <item x="0"/>
        <item x="16"/>
        <item x="7"/>
        <item x="3"/>
        <item x="4"/>
        <item x="2"/>
        <item x="1"/>
        <item x="15"/>
        <item x="14"/>
        <item x="5"/>
        <item x="12"/>
        <item x="13"/>
        <item x="19"/>
        <item x="17"/>
        <item x="18"/>
        <item x="23"/>
        <item x="11"/>
        <item x="10"/>
        <item x="9"/>
        <item x="8"/>
        <item t="default"/>
      </items>
    </pivotField>
    <pivotField compact="0" showAll="0">
      <items count="482">
        <item x="476"/>
        <item x="372"/>
        <item x="258"/>
        <item x="245"/>
        <item x="247"/>
        <item x="366"/>
        <item x="243"/>
        <item x="368"/>
        <item x="70"/>
        <item x="470"/>
        <item x="60"/>
        <item x="369"/>
        <item x="0"/>
        <item x="76"/>
        <item x="365"/>
        <item x="249"/>
        <item x="58"/>
        <item x="2"/>
        <item x="72"/>
        <item x="254"/>
        <item x="261"/>
        <item x="1"/>
        <item x="477"/>
        <item x="260"/>
        <item x="391"/>
        <item x="478"/>
        <item x="59"/>
        <item x="66"/>
        <item x="63"/>
        <item x="379"/>
        <item x="367"/>
        <item x="62"/>
        <item x="79"/>
        <item x="350"/>
        <item x="351"/>
        <item x="67"/>
        <item x="356"/>
        <item x="56"/>
        <item x="251"/>
        <item x="68"/>
        <item x="349"/>
        <item x="242"/>
        <item x="248"/>
        <item x="394"/>
        <item x="341"/>
        <item x="78"/>
        <item x="80"/>
        <item x="77"/>
        <item x="57"/>
        <item x="393"/>
        <item x="55"/>
        <item x="348"/>
        <item x="340"/>
        <item x="362"/>
        <item x="64"/>
        <item x="442"/>
        <item x="445"/>
        <item x="61"/>
        <item x="357"/>
        <item x="361"/>
        <item x="259"/>
        <item x="390"/>
        <item x="352"/>
        <item x="444"/>
        <item x="75"/>
        <item x="395"/>
        <item x="65"/>
        <item x="240"/>
        <item x="81"/>
        <item x="221"/>
        <item x="223"/>
        <item x="388"/>
        <item x="54"/>
        <item x="262"/>
        <item x="230"/>
        <item x="232"/>
        <item x="222"/>
        <item x="83"/>
        <item x="360"/>
        <item x="238"/>
        <item x="439"/>
        <item x="246"/>
        <item x="474"/>
        <item x="73"/>
        <item x="473"/>
        <item x="257"/>
        <item x="233"/>
        <item x="255"/>
        <item x="226"/>
        <item x="220"/>
        <item x="355"/>
        <item x="346"/>
        <item x="347"/>
        <item x="472"/>
        <item x="82"/>
        <item x="396"/>
        <item x="280"/>
        <item x="237"/>
        <item x="353"/>
        <item x="354"/>
        <item x="231"/>
        <item x="440"/>
        <item x="364"/>
        <item x="275"/>
        <item x="345"/>
        <item x="229"/>
        <item x="480"/>
        <item x="437"/>
        <item x="241"/>
        <item x="236"/>
        <item x="475"/>
        <item x="389"/>
        <item x="219"/>
        <item x="438"/>
        <item x="449"/>
        <item x="471"/>
        <item x="359"/>
        <item x="225"/>
        <item x="363"/>
        <item x="218"/>
        <item x="479"/>
        <item x="441"/>
        <item x="375"/>
        <item x="384"/>
        <item x="358"/>
        <item x="227"/>
        <item x="277"/>
        <item x="228"/>
        <item x="256"/>
        <item x="217"/>
        <item x="239"/>
        <item x="224"/>
        <item x="235"/>
        <item x="436"/>
        <item x="252"/>
        <item x="434"/>
        <item x="267"/>
        <item x="374"/>
        <item x="89"/>
        <item x="435"/>
        <item x="234"/>
        <item x="443"/>
        <item x="276"/>
        <item x="98"/>
        <item x="95"/>
        <item x="96"/>
        <item x="266"/>
        <item x="91"/>
        <item x="99"/>
        <item x="250"/>
        <item x="278"/>
        <item x="7"/>
        <item x="18"/>
        <item x="103"/>
        <item x="448"/>
        <item x="104"/>
        <item x="88"/>
        <item x="16"/>
        <item x="25"/>
        <item x="284"/>
        <item x="87"/>
        <item x="373"/>
        <item x="270"/>
        <item x="244"/>
        <item x="274"/>
        <item x="193"/>
        <item x="273"/>
        <item x="97"/>
        <item x="451"/>
        <item x="24"/>
        <item x="92"/>
        <item x="271"/>
        <item x="12"/>
        <item x="282"/>
        <item x="401"/>
        <item x="192"/>
        <item x="8"/>
        <item x="253"/>
        <item x="17"/>
        <item x="377"/>
        <item x="9"/>
        <item x="22"/>
        <item x="203"/>
        <item x="6"/>
        <item x="450"/>
        <item x="205"/>
        <item x="209"/>
        <item x="199"/>
        <item x="15"/>
        <item x="452"/>
        <item x="19"/>
        <item x="13"/>
        <item x="265"/>
        <item x="191"/>
        <item x="268"/>
        <item x="272"/>
        <item x="11"/>
        <item x="264"/>
        <item x="376"/>
        <item x="283"/>
        <item x="200"/>
        <item x="102"/>
        <item x="86"/>
        <item x="400"/>
        <item x="447"/>
        <item x="4"/>
        <item x="285"/>
        <item x="85"/>
        <item x="446"/>
        <item x="5"/>
        <item x="290"/>
        <item x="212"/>
        <item x="29"/>
        <item x="94"/>
        <item x="190"/>
        <item x="281"/>
        <item x="430"/>
        <item x="14"/>
        <item x="196"/>
        <item x="402"/>
        <item x="93"/>
        <item x="211"/>
        <item x="269"/>
        <item x="432"/>
        <item x="26"/>
        <item x="101"/>
        <item x="105"/>
        <item x="23"/>
        <item x="378"/>
        <item x="90"/>
        <item x="263"/>
        <item x="10"/>
        <item x="371"/>
        <item x="189"/>
        <item x="288"/>
        <item x="106"/>
        <item x="201"/>
        <item x="453"/>
        <item x="370"/>
        <item x="84"/>
        <item x="21"/>
        <item x="108"/>
        <item x="380"/>
        <item x="210"/>
        <item x="398"/>
        <item x="3"/>
        <item x="289"/>
        <item x="279"/>
        <item x="188"/>
        <item x="403"/>
        <item x="213"/>
        <item x="433"/>
        <item x="100"/>
        <item x="27"/>
        <item x="397"/>
        <item x="208"/>
        <item x="197"/>
        <item x="20"/>
        <item x="198"/>
        <item x="194"/>
        <item x="187"/>
        <item x="427"/>
        <item x="107"/>
        <item x="216"/>
        <item x="206"/>
        <item x="195"/>
        <item x="214"/>
        <item x="399"/>
        <item x="429"/>
        <item x="28"/>
        <item x="215"/>
        <item x="428"/>
        <item x="166"/>
        <item x="422"/>
        <item x="36"/>
        <item x="184"/>
        <item x="425"/>
        <item x="178"/>
        <item x="169"/>
        <item x="164"/>
        <item x="33"/>
        <item x="172"/>
        <item x="51"/>
        <item x="181"/>
        <item x="386"/>
        <item x="46"/>
        <item x="421"/>
        <item x="176"/>
        <item x="167"/>
        <item x="39"/>
        <item x="170"/>
        <item x="185"/>
        <item x="207"/>
        <item x="420"/>
        <item x="426"/>
        <item x="424"/>
        <item x="52"/>
        <item x="186"/>
        <item x="162"/>
        <item x="173"/>
        <item x="165"/>
        <item x="419"/>
        <item x="174"/>
        <item x="34"/>
        <item x="53"/>
        <item x="161"/>
        <item x="49"/>
        <item x="182"/>
        <item x="45"/>
        <item x="385"/>
        <item x="387"/>
        <item x="42"/>
        <item x="32"/>
        <item x="40"/>
        <item x="48"/>
        <item x="202"/>
        <item x="44"/>
        <item x="160"/>
        <item x="381"/>
        <item x="74"/>
        <item x="35"/>
        <item x="31"/>
        <item x="163"/>
        <item x="168"/>
        <item x="43"/>
        <item x="383"/>
        <item x="37"/>
        <item x="50"/>
        <item x="30"/>
        <item x="179"/>
        <item x="431"/>
        <item x="41"/>
        <item x="183"/>
        <item x="392"/>
        <item x="69"/>
        <item x="171"/>
        <item x="382"/>
        <item x="38"/>
        <item x="47"/>
        <item x="204"/>
        <item x="71"/>
        <item x="464"/>
        <item x="457"/>
        <item x="317"/>
        <item x="467"/>
        <item x="318"/>
        <item x="327"/>
        <item x="323"/>
        <item x="320"/>
        <item x="293"/>
        <item x="463"/>
        <item x="459"/>
        <item x="300"/>
        <item x="305"/>
        <item x="466"/>
        <item x="294"/>
        <item x="339"/>
        <item x="456"/>
        <item x="304"/>
        <item x="334"/>
        <item x="344"/>
        <item x="297"/>
        <item x="458"/>
        <item x="338"/>
        <item x="296"/>
        <item x="326"/>
        <item x="468"/>
        <item x="335"/>
        <item x="314"/>
        <item x="333"/>
        <item x="287"/>
        <item x="309"/>
        <item x="462"/>
        <item x="316"/>
        <item x="461"/>
        <item x="342"/>
        <item x="315"/>
        <item x="286"/>
        <item x="324"/>
        <item x="310"/>
        <item x="325"/>
        <item x="331"/>
        <item x="303"/>
        <item x="313"/>
        <item x="460"/>
        <item x="337"/>
        <item x="319"/>
        <item x="328"/>
        <item x="302"/>
        <item x="336"/>
        <item x="292"/>
        <item x="454"/>
        <item x="301"/>
        <item x="115"/>
        <item x="469"/>
        <item x="407"/>
        <item x="291"/>
        <item x="455"/>
        <item x="312"/>
        <item x="307"/>
        <item x="322"/>
        <item x="295"/>
        <item x="321"/>
        <item x="465"/>
        <item x="311"/>
        <item x="131"/>
        <item x="343"/>
        <item x="329"/>
        <item x="330"/>
        <item x="299"/>
        <item x="306"/>
        <item x="123"/>
        <item x="298"/>
        <item x="121"/>
        <item x="111"/>
        <item x="124"/>
        <item x="409"/>
        <item x="127"/>
        <item x="408"/>
        <item x="110"/>
        <item x="332"/>
        <item x="406"/>
        <item x="119"/>
        <item x="125"/>
        <item x="118"/>
        <item x="112"/>
        <item x="132"/>
        <item x="129"/>
        <item x="122"/>
        <item x="153"/>
        <item x="116"/>
        <item x="113"/>
        <item x="139"/>
        <item x="117"/>
        <item x="405"/>
        <item x="120"/>
        <item x="404"/>
        <item x="148"/>
        <item x="308"/>
        <item x="114"/>
        <item x="410"/>
        <item x="109"/>
        <item x="158"/>
        <item x="128"/>
        <item x="414"/>
        <item x="149"/>
        <item x="145"/>
        <item x="126"/>
        <item x="147"/>
        <item x="135"/>
        <item x="136"/>
        <item x="151"/>
        <item x="150"/>
        <item x="417"/>
        <item x="413"/>
        <item x="154"/>
        <item x="156"/>
        <item x="416"/>
        <item x="130"/>
        <item x="137"/>
        <item x="141"/>
        <item x="134"/>
        <item x="180"/>
        <item x="143"/>
        <item x="146"/>
        <item x="159"/>
        <item x="142"/>
        <item x="140"/>
        <item x="411"/>
        <item x="175"/>
        <item x="412"/>
        <item x="144"/>
        <item x="418"/>
        <item x="138"/>
        <item x="133"/>
        <item x="155"/>
        <item x="415"/>
        <item x="177"/>
        <item x="152"/>
        <item x="157"/>
        <item x="423"/>
        <item t="default"/>
      </items>
    </pivotField>
    <pivotField compact="0" showAll="0">
      <items count="483">
        <item x="477"/>
        <item x="370"/>
        <item x="260"/>
        <item x="244"/>
        <item x="472"/>
        <item x="246"/>
        <item x="364"/>
        <item x="242"/>
        <item x="366"/>
        <item x="70"/>
        <item x="60"/>
        <item x="367"/>
        <item x="0"/>
        <item x="363"/>
        <item x="75"/>
        <item x="250"/>
        <item x="254"/>
        <item x="256"/>
        <item x="2"/>
        <item x="58"/>
        <item x="263"/>
        <item x="1"/>
        <item x="478"/>
        <item x="262"/>
        <item x="479"/>
        <item x="389"/>
        <item x="59"/>
        <item x="66"/>
        <item x="376"/>
        <item x="63"/>
        <item x="365"/>
        <item x="62"/>
        <item x="78"/>
        <item x="349"/>
        <item x="356"/>
        <item x="67"/>
        <item x="56"/>
        <item x="252"/>
        <item x="68"/>
        <item x="241"/>
        <item x="247"/>
        <item x="392"/>
        <item x="77"/>
        <item x="446"/>
        <item x="359"/>
        <item x="76"/>
        <item x="79"/>
        <item x="57"/>
        <item x="473"/>
        <item x="391"/>
        <item x="55"/>
        <item x="348"/>
        <item x="341"/>
        <item x="443"/>
        <item x="64"/>
        <item x="447"/>
        <item x="61"/>
        <item x="261"/>
        <item x="360"/>
        <item x="357"/>
        <item x="350"/>
        <item x="388"/>
        <item x="445"/>
        <item x="74"/>
        <item x="220"/>
        <item x="222"/>
        <item x="248"/>
        <item x="65"/>
        <item x="80"/>
        <item x="354"/>
        <item x="351"/>
        <item x="386"/>
        <item x="249"/>
        <item x="54"/>
        <item x="264"/>
        <item x="229"/>
        <item x="235"/>
        <item x="221"/>
        <item x="231"/>
        <item x="82"/>
        <item x="440"/>
        <item x="238"/>
        <item x="245"/>
        <item x="436"/>
        <item x="476"/>
        <item x="257"/>
        <item x="232"/>
        <item x="72"/>
        <item x="475"/>
        <item x="259"/>
        <item x="219"/>
        <item x="225"/>
        <item x="347"/>
        <item x="355"/>
        <item x="346"/>
        <item x="281"/>
        <item x="81"/>
        <item x="474"/>
        <item x="237"/>
        <item x="393"/>
        <item x="438"/>
        <item x="352"/>
        <item x="441"/>
        <item x="353"/>
        <item x="230"/>
        <item x="276"/>
        <item x="362"/>
        <item x="437"/>
        <item x="345"/>
        <item x="228"/>
        <item x="481"/>
        <item x="240"/>
        <item x="236"/>
        <item x="218"/>
        <item x="451"/>
        <item x="387"/>
        <item x="439"/>
        <item x="358"/>
        <item x="224"/>
        <item x="480"/>
        <item x="442"/>
        <item x="217"/>
        <item x="361"/>
        <item x="372"/>
        <item x="278"/>
        <item x="381"/>
        <item x="226"/>
        <item x="227"/>
        <item x="258"/>
        <item x="216"/>
        <item x="239"/>
        <item x="223"/>
        <item x="234"/>
        <item x="435"/>
        <item x="89"/>
        <item x="253"/>
        <item x="433"/>
        <item x="269"/>
        <item x="371"/>
        <item x="434"/>
        <item x="444"/>
        <item x="233"/>
        <item x="277"/>
        <item x="98"/>
        <item x="95"/>
        <item x="96"/>
        <item x="91"/>
        <item x="102"/>
        <item x="99"/>
        <item x="105"/>
        <item x="104"/>
        <item x="268"/>
        <item x="251"/>
        <item x="88"/>
        <item x="7"/>
        <item x="18"/>
        <item x="279"/>
        <item x="285"/>
        <item x="450"/>
        <item x="87"/>
        <item x="16"/>
        <item x="25"/>
        <item x="267"/>
        <item x="286"/>
        <item x="97"/>
        <item x="275"/>
        <item x="243"/>
        <item x="271"/>
        <item x="192"/>
        <item x="92"/>
        <item x="399"/>
        <item x="274"/>
        <item x="453"/>
        <item x="24"/>
        <item x="255"/>
        <item x="272"/>
        <item x="283"/>
        <item x="12"/>
        <item x="8"/>
        <item x="9"/>
        <item x="373"/>
        <item x="22"/>
        <item x="17"/>
        <item x="202"/>
        <item x="6"/>
        <item x="204"/>
        <item x="208"/>
        <item x="198"/>
        <item x="452"/>
        <item x="15"/>
        <item x="454"/>
        <item x="13"/>
        <item x="19"/>
        <item x="11"/>
        <item x="86"/>
        <item x="191"/>
        <item x="398"/>
        <item x="103"/>
        <item x="270"/>
        <item x="85"/>
        <item x="266"/>
        <item x="273"/>
        <item x="284"/>
        <item x="199"/>
        <item x="94"/>
        <item x="211"/>
        <item x="448"/>
        <item x="292"/>
        <item x="4"/>
        <item x="5"/>
        <item x="287"/>
        <item x="190"/>
        <item x="400"/>
        <item x="449"/>
        <item x="93"/>
        <item x="428"/>
        <item x="29"/>
        <item x="282"/>
        <item x="374"/>
        <item x="195"/>
        <item x="210"/>
        <item x="14"/>
        <item x="90"/>
        <item x="101"/>
        <item x="430"/>
        <item x="84"/>
        <item x="106"/>
        <item x="107"/>
        <item x="26"/>
        <item x="83"/>
        <item x="23"/>
        <item x="109"/>
        <item x="375"/>
        <item x="369"/>
        <item x="394"/>
        <item x="10"/>
        <item x="265"/>
        <item x="200"/>
        <item x="290"/>
        <item x="189"/>
        <item x="368"/>
        <item x="455"/>
        <item x="396"/>
        <item x="21"/>
        <item x="377"/>
        <item x="209"/>
        <item x="3"/>
        <item x="291"/>
        <item x="100"/>
        <item x="280"/>
        <item x="401"/>
        <item x="431"/>
        <item x="188"/>
        <item x="395"/>
        <item x="212"/>
        <item x="27"/>
        <item x="196"/>
        <item x="207"/>
        <item x="20"/>
        <item x="108"/>
        <item x="197"/>
        <item x="187"/>
        <item x="193"/>
        <item x="425"/>
        <item x="194"/>
        <item x="205"/>
        <item x="215"/>
        <item x="397"/>
        <item x="213"/>
        <item x="427"/>
        <item x="28"/>
        <item x="432"/>
        <item x="214"/>
        <item x="426"/>
        <item x="166"/>
        <item x="36"/>
        <item x="420"/>
        <item x="184"/>
        <item x="423"/>
        <item x="178"/>
        <item x="169"/>
        <item x="164"/>
        <item x="172"/>
        <item x="33"/>
        <item x="51"/>
        <item x="181"/>
        <item x="46"/>
        <item x="419"/>
        <item x="176"/>
        <item x="384"/>
        <item x="167"/>
        <item x="185"/>
        <item x="170"/>
        <item x="418"/>
        <item x="39"/>
        <item x="206"/>
        <item x="424"/>
        <item x="382"/>
        <item x="422"/>
        <item x="52"/>
        <item x="162"/>
        <item x="173"/>
        <item x="165"/>
        <item x="186"/>
        <item x="174"/>
        <item x="417"/>
        <item x="34"/>
        <item x="53"/>
        <item x="182"/>
        <item x="161"/>
        <item x="49"/>
        <item x="45"/>
        <item x="385"/>
        <item x="42"/>
        <item x="383"/>
        <item x="48"/>
        <item x="32"/>
        <item x="201"/>
        <item x="44"/>
        <item x="160"/>
        <item x="40"/>
        <item x="168"/>
        <item x="163"/>
        <item x="73"/>
        <item x="378"/>
        <item x="35"/>
        <item x="31"/>
        <item x="380"/>
        <item x="50"/>
        <item x="43"/>
        <item x="37"/>
        <item x="30"/>
        <item x="429"/>
        <item x="179"/>
        <item x="41"/>
        <item x="183"/>
        <item x="390"/>
        <item x="69"/>
        <item x="171"/>
        <item x="379"/>
        <item x="38"/>
        <item x="47"/>
        <item x="203"/>
        <item x="71"/>
        <item x="466"/>
        <item x="459"/>
        <item x="318"/>
        <item x="319"/>
        <item x="469"/>
        <item x="321"/>
        <item x="328"/>
        <item x="324"/>
        <item x="295"/>
        <item x="465"/>
        <item x="296"/>
        <item x="461"/>
        <item x="302"/>
        <item x="307"/>
        <item x="468"/>
        <item x="340"/>
        <item x="458"/>
        <item x="299"/>
        <item x="335"/>
        <item x="306"/>
        <item x="344"/>
        <item x="460"/>
        <item x="339"/>
        <item x="336"/>
        <item x="298"/>
        <item x="327"/>
        <item x="315"/>
        <item x="470"/>
        <item x="334"/>
        <item x="310"/>
        <item x="289"/>
        <item x="464"/>
        <item x="342"/>
        <item x="463"/>
        <item x="317"/>
        <item x="288"/>
        <item x="311"/>
        <item x="316"/>
        <item x="325"/>
        <item x="326"/>
        <item x="305"/>
        <item x="314"/>
        <item x="332"/>
        <item x="338"/>
        <item x="462"/>
        <item x="329"/>
        <item x="320"/>
        <item x="304"/>
        <item x="337"/>
        <item x="116"/>
        <item x="471"/>
        <item x="456"/>
        <item x="294"/>
        <item x="303"/>
        <item x="323"/>
        <item x="457"/>
        <item x="313"/>
        <item x="293"/>
        <item x="405"/>
        <item x="467"/>
        <item x="297"/>
        <item x="322"/>
        <item x="131"/>
        <item x="343"/>
        <item x="312"/>
        <item x="330"/>
        <item x="301"/>
        <item x="331"/>
        <item x="308"/>
        <item x="300"/>
        <item x="124"/>
        <item x="122"/>
        <item x="125"/>
        <item x="112"/>
        <item x="407"/>
        <item x="128"/>
        <item x="406"/>
        <item x="333"/>
        <item x="111"/>
        <item x="404"/>
        <item x="113"/>
        <item x="126"/>
        <item x="120"/>
        <item x="129"/>
        <item x="153"/>
        <item x="114"/>
        <item x="123"/>
        <item x="119"/>
        <item x="132"/>
        <item x="117"/>
        <item x="118"/>
        <item x="139"/>
        <item x="403"/>
        <item x="121"/>
        <item x="402"/>
        <item x="309"/>
        <item x="148"/>
        <item x="115"/>
        <item x="408"/>
        <item x="110"/>
        <item x="158"/>
        <item x="412"/>
        <item x="149"/>
        <item x="145"/>
        <item x="127"/>
        <item x="147"/>
        <item x="136"/>
        <item x="151"/>
        <item x="150"/>
        <item x="135"/>
        <item x="415"/>
        <item x="141"/>
        <item x="130"/>
        <item x="156"/>
        <item x="154"/>
        <item x="411"/>
        <item x="137"/>
        <item x="414"/>
        <item x="134"/>
        <item x="180"/>
        <item x="143"/>
        <item x="146"/>
        <item x="159"/>
        <item x="142"/>
        <item x="140"/>
        <item x="410"/>
        <item x="175"/>
        <item x="409"/>
        <item x="144"/>
        <item x="138"/>
        <item x="416"/>
        <item x="155"/>
        <item x="133"/>
        <item x="413"/>
        <item x="177"/>
        <item x="152"/>
        <item x="157"/>
        <item x="421"/>
        <item t="default"/>
      </items>
    </pivotField>
    <pivotField compact="0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Page" compact="0" multipleItemSelectionAllowed="1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1">
    <field x="1"/>
  </rowFields>
  <rowItems count="4">
    <i>
      <x v="12"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8"/>
  </pageFields>
  <dataFields count="2">
    <dataField name="Сумма Товарооборот, руб2" fld="3" baseField="0" baseItem="0"/>
    <dataField name="Сумма Товарооборот, руб" fld="3" showDataAs="percentOfTotal" baseField="0" baseItem="0" numFmtId="10"/>
  </dataFields>
  <pivotTableStyleInfo name="PivotStylePreset2_Accent1" showRowHeaders="1" showColHeaders="1"/>
  <filters count="1">
    <filter evalOrder="-1" fld="1" iMeasureFld="1" id="1" type="count">
      <autoFilter ref="A1">
        <filterColumn colId="0">
          <top10 filterVal="3" 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_x000a_таблица2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3:B7" firstHeaderRow="1" firstDataRow="1" firstDataCol="1" rowPageCount="1" colPageCount="1"/>
  <pivotFields count="9">
    <pivotField compact="0" numFmtId="178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measureFilter="1" compact="0" sortType="descending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Page" compact="0" multipleItemSelectionAllowed="1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Items count="1">
    <i/>
  </colItems>
  <pageFields count="1">
    <pageField fld="8"/>
  </pageFields>
  <dataFields count="1">
    <dataField name="Сумма Товарооборот на склад" fld="7" baseField="0" baseItem="0"/>
  </dataFields>
  <pivotTableStyleInfo name="PivotStylePreset2_Accent1" showRowHeaders="1" showColHeaders="1"/>
  <filters count="1">
    <filter evalOrder="-1" fld="1" iMeasureFld="0" id="1" type="count">
      <autoFilter ref="A1">
        <filterColumn colId="0">
          <top10 filterVal="3" 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_x000a_таблица1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A1:C8" firstHeaderRow="0" firstDataRow="1" firstDataCol="1"/>
  <pivotFields count="9">
    <pivotField compact="0" numFmtId="178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compact="0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compact="0" showAll="0">
      <items count="503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t="default"/>
      </items>
    </pivotField>
    <pivotField dataField="1" compact="0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compact="0" showAll="0">
      <items count="25">
        <item x="22"/>
        <item x="20"/>
        <item x="21"/>
        <item x="6"/>
        <item x="0"/>
        <item x="16"/>
        <item x="7"/>
        <item x="3"/>
        <item x="4"/>
        <item x="2"/>
        <item x="1"/>
        <item x="15"/>
        <item x="14"/>
        <item x="5"/>
        <item x="12"/>
        <item x="13"/>
        <item x="19"/>
        <item x="17"/>
        <item x="18"/>
        <item x="23"/>
        <item x="11"/>
        <item x="10"/>
        <item x="9"/>
        <item x="8"/>
        <item t="default"/>
      </items>
    </pivotField>
    <pivotField compact="0" showAll="0">
      <items count="482">
        <item x="476"/>
        <item x="372"/>
        <item x="258"/>
        <item x="245"/>
        <item x="247"/>
        <item x="366"/>
        <item x="243"/>
        <item x="368"/>
        <item x="70"/>
        <item x="470"/>
        <item x="60"/>
        <item x="369"/>
        <item x="0"/>
        <item x="76"/>
        <item x="365"/>
        <item x="249"/>
        <item x="58"/>
        <item x="2"/>
        <item x="72"/>
        <item x="254"/>
        <item x="261"/>
        <item x="1"/>
        <item x="477"/>
        <item x="260"/>
        <item x="391"/>
        <item x="478"/>
        <item x="59"/>
        <item x="66"/>
        <item x="63"/>
        <item x="379"/>
        <item x="367"/>
        <item x="62"/>
        <item x="79"/>
        <item x="350"/>
        <item x="351"/>
        <item x="67"/>
        <item x="356"/>
        <item x="56"/>
        <item x="251"/>
        <item x="68"/>
        <item x="349"/>
        <item x="242"/>
        <item x="248"/>
        <item x="394"/>
        <item x="341"/>
        <item x="78"/>
        <item x="80"/>
        <item x="77"/>
        <item x="57"/>
        <item x="393"/>
        <item x="55"/>
        <item x="348"/>
        <item x="340"/>
        <item x="362"/>
        <item x="64"/>
        <item x="442"/>
        <item x="445"/>
        <item x="61"/>
        <item x="357"/>
        <item x="361"/>
        <item x="259"/>
        <item x="390"/>
        <item x="352"/>
        <item x="444"/>
        <item x="75"/>
        <item x="395"/>
        <item x="65"/>
        <item x="240"/>
        <item x="81"/>
        <item x="221"/>
        <item x="223"/>
        <item x="388"/>
        <item x="54"/>
        <item x="262"/>
        <item x="230"/>
        <item x="232"/>
        <item x="222"/>
        <item x="83"/>
        <item x="360"/>
        <item x="238"/>
        <item x="439"/>
        <item x="246"/>
        <item x="474"/>
        <item x="73"/>
        <item x="473"/>
        <item x="257"/>
        <item x="233"/>
        <item x="255"/>
        <item x="226"/>
        <item x="220"/>
        <item x="355"/>
        <item x="346"/>
        <item x="347"/>
        <item x="472"/>
        <item x="82"/>
        <item x="396"/>
        <item x="280"/>
        <item x="237"/>
        <item x="353"/>
        <item x="354"/>
        <item x="231"/>
        <item x="440"/>
        <item x="364"/>
        <item x="275"/>
        <item x="345"/>
        <item x="229"/>
        <item x="480"/>
        <item x="437"/>
        <item x="241"/>
        <item x="236"/>
        <item x="475"/>
        <item x="389"/>
        <item x="219"/>
        <item x="438"/>
        <item x="449"/>
        <item x="471"/>
        <item x="359"/>
        <item x="225"/>
        <item x="363"/>
        <item x="218"/>
        <item x="479"/>
        <item x="441"/>
        <item x="375"/>
        <item x="384"/>
        <item x="358"/>
        <item x="227"/>
        <item x="277"/>
        <item x="228"/>
        <item x="256"/>
        <item x="217"/>
        <item x="239"/>
        <item x="224"/>
        <item x="235"/>
        <item x="436"/>
        <item x="252"/>
        <item x="434"/>
        <item x="267"/>
        <item x="374"/>
        <item x="89"/>
        <item x="435"/>
        <item x="234"/>
        <item x="443"/>
        <item x="276"/>
        <item x="98"/>
        <item x="95"/>
        <item x="96"/>
        <item x="266"/>
        <item x="91"/>
        <item x="99"/>
        <item x="250"/>
        <item x="278"/>
        <item x="7"/>
        <item x="18"/>
        <item x="103"/>
        <item x="448"/>
        <item x="104"/>
        <item x="88"/>
        <item x="16"/>
        <item x="25"/>
        <item x="284"/>
        <item x="87"/>
        <item x="373"/>
        <item x="270"/>
        <item x="244"/>
        <item x="274"/>
        <item x="193"/>
        <item x="273"/>
        <item x="97"/>
        <item x="451"/>
        <item x="24"/>
        <item x="92"/>
        <item x="271"/>
        <item x="12"/>
        <item x="282"/>
        <item x="401"/>
        <item x="192"/>
        <item x="8"/>
        <item x="253"/>
        <item x="17"/>
        <item x="377"/>
        <item x="9"/>
        <item x="22"/>
        <item x="203"/>
        <item x="6"/>
        <item x="450"/>
        <item x="205"/>
        <item x="209"/>
        <item x="199"/>
        <item x="15"/>
        <item x="452"/>
        <item x="19"/>
        <item x="13"/>
        <item x="265"/>
        <item x="191"/>
        <item x="268"/>
        <item x="272"/>
        <item x="11"/>
        <item x="264"/>
        <item x="376"/>
        <item x="283"/>
        <item x="200"/>
        <item x="102"/>
        <item x="86"/>
        <item x="400"/>
        <item x="447"/>
        <item x="4"/>
        <item x="285"/>
        <item x="85"/>
        <item x="446"/>
        <item x="5"/>
        <item x="290"/>
        <item x="212"/>
        <item x="29"/>
        <item x="94"/>
        <item x="190"/>
        <item x="281"/>
        <item x="430"/>
        <item x="14"/>
        <item x="196"/>
        <item x="402"/>
        <item x="93"/>
        <item x="211"/>
        <item x="269"/>
        <item x="432"/>
        <item x="26"/>
        <item x="101"/>
        <item x="105"/>
        <item x="23"/>
        <item x="378"/>
        <item x="90"/>
        <item x="263"/>
        <item x="10"/>
        <item x="371"/>
        <item x="189"/>
        <item x="288"/>
        <item x="106"/>
        <item x="201"/>
        <item x="453"/>
        <item x="370"/>
        <item x="84"/>
        <item x="21"/>
        <item x="108"/>
        <item x="380"/>
        <item x="210"/>
        <item x="398"/>
        <item x="3"/>
        <item x="289"/>
        <item x="279"/>
        <item x="188"/>
        <item x="403"/>
        <item x="213"/>
        <item x="433"/>
        <item x="100"/>
        <item x="27"/>
        <item x="397"/>
        <item x="208"/>
        <item x="197"/>
        <item x="20"/>
        <item x="198"/>
        <item x="194"/>
        <item x="187"/>
        <item x="427"/>
        <item x="107"/>
        <item x="216"/>
        <item x="206"/>
        <item x="195"/>
        <item x="214"/>
        <item x="399"/>
        <item x="429"/>
        <item x="28"/>
        <item x="215"/>
        <item x="428"/>
        <item x="166"/>
        <item x="422"/>
        <item x="36"/>
        <item x="184"/>
        <item x="425"/>
        <item x="178"/>
        <item x="169"/>
        <item x="164"/>
        <item x="33"/>
        <item x="172"/>
        <item x="51"/>
        <item x="181"/>
        <item x="386"/>
        <item x="46"/>
        <item x="421"/>
        <item x="176"/>
        <item x="167"/>
        <item x="39"/>
        <item x="170"/>
        <item x="185"/>
        <item x="207"/>
        <item x="420"/>
        <item x="426"/>
        <item x="424"/>
        <item x="52"/>
        <item x="186"/>
        <item x="162"/>
        <item x="173"/>
        <item x="165"/>
        <item x="419"/>
        <item x="174"/>
        <item x="34"/>
        <item x="53"/>
        <item x="161"/>
        <item x="49"/>
        <item x="182"/>
        <item x="45"/>
        <item x="385"/>
        <item x="387"/>
        <item x="42"/>
        <item x="32"/>
        <item x="40"/>
        <item x="48"/>
        <item x="202"/>
        <item x="44"/>
        <item x="160"/>
        <item x="381"/>
        <item x="74"/>
        <item x="35"/>
        <item x="31"/>
        <item x="163"/>
        <item x="168"/>
        <item x="43"/>
        <item x="383"/>
        <item x="37"/>
        <item x="50"/>
        <item x="30"/>
        <item x="179"/>
        <item x="431"/>
        <item x="41"/>
        <item x="183"/>
        <item x="392"/>
        <item x="69"/>
        <item x="171"/>
        <item x="382"/>
        <item x="38"/>
        <item x="47"/>
        <item x="204"/>
        <item x="71"/>
        <item x="464"/>
        <item x="457"/>
        <item x="317"/>
        <item x="467"/>
        <item x="318"/>
        <item x="327"/>
        <item x="323"/>
        <item x="320"/>
        <item x="293"/>
        <item x="463"/>
        <item x="459"/>
        <item x="300"/>
        <item x="305"/>
        <item x="466"/>
        <item x="294"/>
        <item x="339"/>
        <item x="456"/>
        <item x="304"/>
        <item x="334"/>
        <item x="344"/>
        <item x="297"/>
        <item x="458"/>
        <item x="338"/>
        <item x="296"/>
        <item x="326"/>
        <item x="468"/>
        <item x="335"/>
        <item x="314"/>
        <item x="333"/>
        <item x="287"/>
        <item x="309"/>
        <item x="462"/>
        <item x="316"/>
        <item x="461"/>
        <item x="342"/>
        <item x="315"/>
        <item x="286"/>
        <item x="324"/>
        <item x="310"/>
        <item x="325"/>
        <item x="331"/>
        <item x="303"/>
        <item x="313"/>
        <item x="460"/>
        <item x="337"/>
        <item x="319"/>
        <item x="328"/>
        <item x="302"/>
        <item x="336"/>
        <item x="292"/>
        <item x="454"/>
        <item x="301"/>
        <item x="115"/>
        <item x="469"/>
        <item x="407"/>
        <item x="291"/>
        <item x="455"/>
        <item x="312"/>
        <item x="307"/>
        <item x="322"/>
        <item x="295"/>
        <item x="321"/>
        <item x="465"/>
        <item x="311"/>
        <item x="131"/>
        <item x="343"/>
        <item x="329"/>
        <item x="330"/>
        <item x="299"/>
        <item x="306"/>
        <item x="123"/>
        <item x="298"/>
        <item x="121"/>
        <item x="111"/>
        <item x="124"/>
        <item x="409"/>
        <item x="127"/>
        <item x="408"/>
        <item x="110"/>
        <item x="332"/>
        <item x="406"/>
        <item x="119"/>
        <item x="125"/>
        <item x="118"/>
        <item x="112"/>
        <item x="132"/>
        <item x="129"/>
        <item x="122"/>
        <item x="153"/>
        <item x="116"/>
        <item x="113"/>
        <item x="139"/>
        <item x="117"/>
        <item x="405"/>
        <item x="120"/>
        <item x="404"/>
        <item x="148"/>
        <item x="308"/>
        <item x="114"/>
        <item x="410"/>
        <item x="109"/>
        <item x="158"/>
        <item x="128"/>
        <item x="414"/>
        <item x="149"/>
        <item x="145"/>
        <item x="126"/>
        <item x="147"/>
        <item x="135"/>
        <item x="136"/>
        <item x="151"/>
        <item x="150"/>
        <item x="417"/>
        <item x="413"/>
        <item x="154"/>
        <item x="156"/>
        <item x="416"/>
        <item x="130"/>
        <item x="137"/>
        <item x="141"/>
        <item x="134"/>
        <item x="180"/>
        <item x="143"/>
        <item x="146"/>
        <item x="159"/>
        <item x="142"/>
        <item x="140"/>
        <item x="411"/>
        <item x="175"/>
        <item x="412"/>
        <item x="144"/>
        <item x="418"/>
        <item x="138"/>
        <item x="133"/>
        <item x="155"/>
        <item x="415"/>
        <item x="177"/>
        <item x="152"/>
        <item x="157"/>
        <item x="423"/>
        <item t="default"/>
      </items>
    </pivotField>
    <pivotField compact="0" showAll="0">
      <items count="483">
        <item x="477"/>
        <item x="370"/>
        <item x="260"/>
        <item x="244"/>
        <item x="472"/>
        <item x="246"/>
        <item x="364"/>
        <item x="242"/>
        <item x="366"/>
        <item x="70"/>
        <item x="60"/>
        <item x="367"/>
        <item x="0"/>
        <item x="363"/>
        <item x="75"/>
        <item x="250"/>
        <item x="254"/>
        <item x="256"/>
        <item x="2"/>
        <item x="58"/>
        <item x="263"/>
        <item x="1"/>
        <item x="478"/>
        <item x="262"/>
        <item x="479"/>
        <item x="389"/>
        <item x="59"/>
        <item x="66"/>
        <item x="376"/>
        <item x="63"/>
        <item x="365"/>
        <item x="62"/>
        <item x="78"/>
        <item x="349"/>
        <item x="356"/>
        <item x="67"/>
        <item x="56"/>
        <item x="252"/>
        <item x="68"/>
        <item x="241"/>
        <item x="247"/>
        <item x="392"/>
        <item x="77"/>
        <item x="446"/>
        <item x="359"/>
        <item x="76"/>
        <item x="79"/>
        <item x="57"/>
        <item x="473"/>
        <item x="391"/>
        <item x="55"/>
        <item x="348"/>
        <item x="341"/>
        <item x="443"/>
        <item x="64"/>
        <item x="447"/>
        <item x="61"/>
        <item x="261"/>
        <item x="360"/>
        <item x="357"/>
        <item x="350"/>
        <item x="388"/>
        <item x="445"/>
        <item x="74"/>
        <item x="220"/>
        <item x="222"/>
        <item x="248"/>
        <item x="65"/>
        <item x="80"/>
        <item x="354"/>
        <item x="351"/>
        <item x="386"/>
        <item x="249"/>
        <item x="54"/>
        <item x="264"/>
        <item x="229"/>
        <item x="235"/>
        <item x="221"/>
        <item x="231"/>
        <item x="82"/>
        <item x="440"/>
        <item x="238"/>
        <item x="245"/>
        <item x="436"/>
        <item x="476"/>
        <item x="257"/>
        <item x="232"/>
        <item x="72"/>
        <item x="475"/>
        <item x="259"/>
        <item x="219"/>
        <item x="225"/>
        <item x="347"/>
        <item x="355"/>
        <item x="346"/>
        <item x="281"/>
        <item x="81"/>
        <item x="474"/>
        <item x="237"/>
        <item x="393"/>
        <item x="438"/>
        <item x="352"/>
        <item x="441"/>
        <item x="353"/>
        <item x="230"/>
        <item x="276"/>
        <item x="362"/>
        <item x="437"/>
        <item x="345"/>
        <item x="228"/>
        <item x="481"/>
        <item x="240"/>
        <item x="236"/>
        <item x="218"/>
        <item x="451"/>
        <item x="387"/>
        <item x="439"/>
        <item x="358"/>
        <item x="224"/>
        <item x="480"/>
        <item x="442"/>
        <item x="217"/>
        <item x="361"/>
        <item x="372"/>
        <item x="278"/>
        <item x="381"/>
        <item x="226"/>
        <item x="227"/>
        <item x="258"/>
        <item x="216"/>
        <item x="239"/>
        <item x="223"/>
        <item x="234"/>
        <item x="435"/>
        <item x="89"/>
        <item x="253"/>
        <item x="433"/>
        <item x="269"/>
        <item x="371"/>
        <item x="434"/>
        <item x="444"/>
        <item x="233"/>
        <item x="277"/>
        <item x="98"/>
        <item x="95"/>
        <item x="96"/>
        <item x="91"/>
        <item x="102"/>
        <item x="99"/>
        <item x="105"/>
        <item x="104"/>
        <item x="268"/>
        <item x="251"/>
        <item x="88"/>
        <item x="7"/>
        <item x="18"/>
        <item x="279"/>
        <item x="285"/>
        <item x="450"/>
        <item x="87"/>
        <item x="16"/>
        <item x="25"/>
        <item x="267"/>
        <item x="286"/>
        <item x="97"/>
        <item x="275"/>
        <item x="243"/>
        <item x="271"/>
        <item x="192"/>
        <item x="92"/>
        <item x="399"/>
        <item x="274"/>
        <item x="453"/>
        <item x="24"/>
        <item x="255"/>
        <item x="272"/>
        <item x="283"/>
        <item x="12"/>
        <item x="8"/>
        <item x="9"/>
        <item x="373"/>
        <item x="22"/>
        <item x="17"/>
        <item x="202"/>
        <item x="6"/>
        <item x="204"/>
        <item x="208"/>
        <item x="198"/>
        <item x="452"/>
        <item x="15"/>
        <item x="454"/>
        <item x="13"/>
        <item x="19"/>
        <item x="11"/>
        <item x="86"/>
        <item x="191"/>
        <item x="398"/>
        <item x="103"/>
        <item x="270"/>
        <item x="85"/>
        <item x="266"/>
        <item x="273"/>
        <item x="284"/>
        <item x="199"/>
        <item x="94"/>
        <item x="211"/>
        <item x="448"/>
        <item x="292"/>
        <item x="4"/>
        <item x="5"/>
        <item x="287"/>
        <item x="190"/>
        <item x="400"/>
        <item x="449"/>
        <item x="93"/>
        <item x="428"/>
        <item x="29"/>
        <item x="282"/>
        <item x="374"/>
        <item x="195"/>
        <item x="210"/>
        <item x="14"/>
        <item x="90"/>
        <item x="101"/>
        <item x="430"/>
        <item x="84"/>
        <item x="106"/>
        <item x="107"/>
        <item x="26"/>
        <item x="83"/>
        <item x="23"/>
        <item x="109"/>
        <item x="375"/>
        <item x="369"/>
        <item x="394"/>
        <item x="10"/>
        <item x="265"/>
        <item x="200"/>
        <item x="290"/>
        <item x="189"/>
        <item x="368"/>
        <item x="455"/>
        <item x="396"/>
        <item x="21"/>
        <item x="377"/>
        <item x="209"/>
        <item x="3"/>
        <item x="291"/>
        <item x="100"/>
        <item x="280"/>
        <item x="401"/>
        <item x="431"/>
        <item x="188"/>
        <item x="395"/>
        <item x="212"/>
        <item x="27"/>
        <item x="196"/>
        <item x="207"/>
        <item x="20"/>
        <item x="108"/>
        <item x="197"/>
        <item x="187"/>
        <item x="193"/>
        <item x="425"/>
        <item x="194"/>
        <item x="205"/>
        <item x="215"/>
        <item x="397"/>
        <item x="213"/>
        <item x="427"/>
        <item x="28"/>
        <item x="432"/>
        <item x="214"/>
        <item x="426"/>
        <item x="166"/>
        <item x="36"/>
        <item x="420"/>
        <item x="184"/>
        <item x="423"/>
        <item x="178"/>
        <item x="169"/>
        <item x="164"/>
        <item x="172"/>
        <item x="33"/>
        <item x="51"/>
        <item x="181"/>
        <item x="46"/>
        <item x="419"/>
        <item x="176"/>
        <item x="384"/>
        <item x="167"/>
        <item x="185"/>
        <item x="170"/>
        <item x="418"/>
        <item x="39"/>
        <item x="206"/>
        <item x="424"/>
        <item x="382"/>
        <item x="422"/>
        <item x="52"/>
        <item x="162"/>
        <item x="173"/>
        <item x="165"/>
        <item x="186"/>
        <item x="174"/>
        <item x="417"/>
        <item x="34"/>
        <item x="53"/>
        <item x="182"/>
        <item x="161"/>
        <item x="49"/>
        <item x="45"/>
        <item x="385"/>
        <item x="42"/>
        <item x="383"/>
        <item x="48"/>
        <item x="32"/>
        <item x="201"/>
        <item x="44"/>
        <item x="160"/>
        <item x="40"/>
        <item x="168"/>
        <item x="163"/>
        <item x="73"/>
        <item x="378"/>
        <item x="35"/>
        <item x="31"/>
        <item x="380"/>
        <item x="50"/>
        <item x="43"/>
        <item x="37"/>
        <item x="30"/>
        <item x="429"/>
        <item x="179"/>
        <item x="41"/>
        <item x="183"/>
        <item x="390"/>
        <item x="69"/>
        <item x="171"/>
        <item x="379"/>
        <item x="38"/>
        <item x="47"/>
        <item x="203"/>
        <item x="71"/>
        <item x="466"/>
        <item x="459"/>
        <item x="318"/>
        <item x="319"/>
        <item x="469"/>
        <item x="321"/>
        <item x="328"/>
        <item x="324"/>
        <item x="295"/>
        <item x="465"/>
        <item x="296"/>
        <item x="461"/>
        <item x="302"/>
        <item x="307"/>
        <item x="468"/>
        <item x="340"/>
        <item x="458"/>
        <item x="299"/>
        <item x="335"/>
        <item x="306"/>
        <item x="344"/>
        <item x="460"/>
        <item x="339"/>
        <item x="336"/>
        <item x="298"/>
        <item x="327"/>
        <item x="315"/>
        <item x="470"/>
        <item x="334"/>
        <item x="310"/>
        <item x="289"/>
        <item x="464"/>
        <item x="342"/>
        <item x="463"/>
        <item x="317"/>
        <item x="288"/>
        <item x="311"/>
        <item x="316"/>
        <item x="325"/>
        <item x="326"/>
        <item x="305"/>
        <item x="314"/>
        <item x="332"/>
        <item x="338"/>
        <item x="462"/>
        <item x="329"/>
        <item x="320"/>
        <item x="304"/>
        <item x="337"/>
        <item x="116"/>
        <item x="471"/>
        <item x="456"/>
        <item x="294"/>
        <item x="303"/>
        <item x="323"/>
        <item x="457"/>
        <item x="313"/>
        <item x="293"/>
        <item x="405"/>
        <item x="467"/>
        <item x="297"/>
        <item x="322"/>
        <item x="131"/>
        <item x="343"/>
        <item x="312"/>
        <item x="330"/>
        <item x="301"/>
        <item x="331"/>
        <item x="308"/>
        <item x="300"/>
        <item x="124"/>
        <item x="122"/>
        <item x="125"/>
        <item x="112"/>
        <item x="407"/>
        <item x="128"/>
        <item x="406"/>
        <item x="333"/>
        <item x="111"/>
        <item x="404"/>
        <item x="113"/>
        <item x="126"/>
        <item x="120"/>
        <item x="129"/>
        <item x="153"/>
        <item x="114"/>
        <item x="123"/>
        <item x="119"/>
        <item x="132"/>
        <item x="117"/>
        <item x="118"/>
        <item x="139"/>
        <item x="403"/>
        <item x="121"/>
        <item x="402"/>
        <item x="309"/>
        <item x="148"/>
        <item x="115"/>
        <item x="408"/>
        <item x="110"/>
        <item x="158"/>
        <item x="412"/>
        <item x="149"/>
        <item x="145"/>
        <item x="127"/>
        <item x="147"/>
        <item x="136"/>
        <item x="151"/>
        <item x="150"/>
        <item x="135"/>
        <item x="415"/>
        <item x="141"/>
        <item x="130"/>
        <item x="156"/>
        <item x="154"/>
        <item x="411"/>
        <item x="137"/>
        <item x="414"/>
        <item x="134"/>
        <item x="180"/>
        <item x="143"/>
        <item x="146"/>
        <item x="159"/>
        <item x="142"/>
        <item x="140"/>
        <item x="410"/>
        <item x="175"/>
        <item x="409"/>
        <item x="144"/>
        <item x="138"/>
        <item x="416"/>
        <item x="155"/>
        <item x="133"/>
        <item x="413"/>
        <item x="177"/>
        <item x="152"/>
        <item x="157"/>
        <item x="421"/>
        <item t="default"/>
      </items>
    </pivotField>
    <pivotField dataField="1" compact="0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Row" compact="0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Товарооборот на склад" fld="7" baseField="0" baseItem="0"/>
    <dataField name="Сумма Товарооборот, руб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workbookViewId="0">
      <selection activeCell="H2" sqref="H2"/>
    </sheetView>
  </sheetViews>
  <sheetFormatPr defaultColWidth="14.4272727272727" defaultRowHeight="15" customHeight="1"/>
  <cols>
    <col min="1" max="1" width="10.4272727272727" customWidth="1"/>
    <col min="2" max="2" width="21.7090909090909" customWidth="1"/>
    <col min="3" max="3" width="22" customWidth="1"/>
    <col min="4" max="4" width="20.2909090909091" customWidth="1"/>
    <col min="5" max="7" width="22" customWidth="1"/>
    <col min="8" max="8" width="23.4272727272727" customWidth="1"/>
    <col min="9" max="11" width="8.70909090909091" customWidth="1"/>
    <col min="12" max="12" width="23.2727272727273"/>
    <col min="13" max="13" width="26.3636363636364"/>
    <col min="14" max="19" width="12.8181818181818"/>
    <col min="20" max="24" width="30.3636363636364"/>
    <col min="25" max="25" width="36.5454545454545"/>
    <col min="26" max="26" width="31.2727272727273"/>
  </cols>
  <sheetData>
    <row r="1" ht="14.25" customHeight="1" spans="1:24">
      <c r="A1" s="7" t="s">
        <v>0</v>
      </c>
      <c r="B1" s="8" t="s">
        <v>1</v>
      </c>
      <c r="C1" s="8" t="s">
        <v>2</v>
      </c>
      <c r="D1" s="8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ht="14.25" customHeight="1" spans="1:24">
      <c r="A2" s="10">
        <v>43982</v>
      </c>
      <c r="B2" s="11" t="s">
        <v>9</v>
      </c>
      <c r="C2" s="11">
        <v>7944</v>
      </c>
      <c r="D2" s="11">
        <v>623971.5</v>
      </c>
      <c r="E2" s="6" cm="1">
        <f t="array" ref="E2">_xlfn.XLOOKUP(1,(Лист2!A$2:A$505=A2)*(Лист2!B$2:B$505=B2),Лист2!C$2:C$505)</f>
        <v>15</v>
      </c>
      <c r="F2" s="6" cm="1">
        <f t="array" ref="F2">_xlfn.XLOOKUP(1,(Лист2!A$2:A$505=A2)*(Лист2!B$2:B$505=B2),Лист2!D$2:D$505)</f>
        <v>441</v>
      </c>
      <c r="G2" s="6" cm="1">
        <f t="array" ref="G2">_xlfn.XLOOKUP(1,(Лист2!A$2:A$505=A2)*(Лист2!B$2:B$505=B2),Лист2!E$2:E$505)</f>
        <v>368</v>
      </c>
      <c r="H2">
        <f>D2/E2</f>
        <v>41598.1</v>
      </c>
      <c r="I2">
        <f>WEEKNUM(A2,2)</f>
        <v>22</v>
      </c>
    </row>
    <row r="3" ht="14.25" customHeight="1" spans="1:24">
      <c r="A3" s="12">
        <v>43981</v>
      </c>
      <c r="B3" s="13" t="s">
        <v>9</v>
      </c>
      <c r="C3" s="13">
        <v>10029</v>
      </c>
      <c r="D3" s="13">
        <v>787101</v>
      </c>
      <c r="E3" s="6" cm="1">
        <f t="array" ref="E3">_xlfn.XLOOKUP(1,(Лист2!A$2:A$505=A3)*(Лист2!B$2:B$505=B3),Лист2!C$2:C$505)</f>
        <v>15</v>
      </c>
      <c r="F3" s="6" cm="1">
        <f t="array" ref="F3">_xlfn.XLOOKUP(1,(Лист2!A$2:A$505=A3)*(Лист2!B$2:B$505=B3),Лист2!D$2:D$505)</f>
        <v>490</v>
      </c>
      <c r="G3" s="6" cm="1">
        <f t="array" ref="G3">_xlfn.XLOOKUP(1,(Лист2!A$2:A$505=A3)*(Лист2!B$2:B$505=B3),Лист2!E$2:E$505)</f>
        <v>409</v>
      </c>
      <c r="H3">
        <f t="shared" ref="H3:H66" si="0">D3/E3</f>
        <v>52473.4</v>
      </c>
      <c r="I3">
        <f t="shared" ref="I3:I66" si="1">WEEKNUM(A3,2)</f>
        <v>22</v>
      </c>
    </row>
    <row r="4" ht="14.25" customHeight="1" spans="1:24">
      <c r="A4" s="10">
        <v>43979</v>
      </c>
      <c r="B4" s="11" t="s">
        <v>9</v>
      </c>
      <c r="C4" s="11">
        <v>8536.5</v>
      </c>
      <c r="D4" s="11">
        <v>643944</v>
      </c>
      <c r="E4" s="6" cm="1">
        <f t="array" ref="E4">_xlfn.XLOOKUP(1,(Лист2!A$2:A$505=A4)*(Лист2!B$2:B$505=B4),Лист2!C$2:C$505)</f>
        <v>15</v>
      </c>
      <c r="F4" s="6" cm="1">
        <f t="array" ref="F4">_xlfn.XLOOKUP(1,(Лист2!A$2:A$505=A4)*(Лист2!B$2:B$505=B4),Лист2!D$2:D$505)</f>
        <v>464</v>
      </c>
      <c r="G4" s="6" cm="1">
        <f t="array" ref="G4">_xlfn.XLOOKUP(1,(Лист2!A$2:A$505=A4)*(Лист2!B$2:B$505=B4),Лист2!E$2:E$505)</f>
        <v>390</v>
      </c>
      <c r="H4">
        <f t="shared" si="0"/>
        <v>42929.6</v>
      </c>
      <c r="I4">
        <f t="shared" si="1"/>
        <v>22</v>
      </c>
    </row>
    <row r="5" ht="14.25" customHeight="1" spans="1:24">
      <c r="A5" s="12">
        <v>43967</v>
      </c>
      <c r="B5" s="13" t="s">
        <v>10</v>
      </c>
      <c r="C5" s="13">
        <v>38947.5</v>
      </c>
      <c r="D5" s="13">
        <v>3395892</v>
      </c>
      <c r="E5" s="6" cm="1">
        <f t="array" ref="E5">_xlfn.XLOOKUP(1,(Лист2!A$2:A$505=A5)*(Лист2!B$2:B$505=B5),Лист2!C$2:C$505)</f>
        <v>21</v>
      </c>
      <c r="F5" s="6" cm="1">
        <f t="array" ref="F5">_xlfn.XLOOKUP(1,(Лист2!A$2:A$505=A5)*(Лист2!B$2:B$505=B5),Лист2!D$2:D$505)</f>
        <v>2145</v>
      </c>
      <c r="G5" s="6" cm="1">
        <f t="array" ref="G5">_xlfn.XLOOKUP(1,(Лист2!A$2:A$505=A5)*(Лист2!B$2:B$505=B5),Лист2!E$2:E$505)</f>
        <v>1947</v>
      </c>
      <c r="H5">
        <f t="shared" si="0"/>
        <v>161709.142857143</v>
      </c>
      <c r="I5">
        <f t="shared" si="1"/>
        <v>20</v>
      </c>
    </row>
    <row r="6" ht="14.25" customHeight="1" spans="1:24">
      <c r="A6" s="10">
        <v>43970</v>
      </c>
      <c r="B6" s="11" t="s">
        <v>10</v>
      </c>
      <c r="C6" s="11">
        <v>31842</v>
      </c>
      <c r="D6" s="11">
        <v>2771116.5</v>
      </c>
      <c r="E6" s="6" cm="1">
        <f t="array" ref="E6">_xlfn.XLOOKUP(1,(Лист2!A$2:A$505=A6)*(Лист2!B$2:B$505=B6),Лист2!C$2:C$505)</f>
        <v>21</v>
      </c>
      <c r="F6" s="6" cm="1">
        <f t="array" ref="F6">_xlfn.XLOOKUP(1,(Лист2!A$2:A$505=A6)*(Лист2!B$2:B$505=B6),Лист2!D$2:D$505)</f>
        <v>1860</v>
      </c>
      <c r="G6" s="6" cm="1">
        <f t="array" ref="G6">_xlfn.XLOOKUP(1,(Лист2!A$2:A$505=A6)*(Лист2!B$2:B$505=B6),Лист2!E$2:E$505)</f>
        <v>1704</v>
      </c>
      <c r="H6">
        <f t="shared" si="0"/>
        <v>131957.928571429</v>
      </c>
      <c r="I6">
        <f t="shared" si="1"/>
        <v>21</v>
      </c>
    </row>
    <row r="7" ht="14.25" customHeight="1" spans="1:24">
      <c r="A7" s="12">
        <v>43968</v>
      </c>
      <c r="B7" s="13" t="s">
        <v>10</v>
      </c>
      <c r="C7" s="13">
        <v>32023.5</v>
      </c>
      <c r="D7" s="13">
        <v>2882458.5</v>
      </c>
      <c r="E7" s="6" cm="1">
        <f t="array" ref="E7">_xlfn.XLOOKUP(1,(Лист2!A$2:A$505=A7)*(Лист2!B$2:B$505=B7),Лист2!C$2:C$505)</f>
        <v>21</v>
      </c>
      <c r="F7" s="6" cm="1">
        <f t="array" ref="F7">_xlfn.XLOOKUP(1,(Лист2!A$2:A$505=A7)*(Лист2!B$2:B$505=B7),Лист2!D$2:D$505)</f>
        <v>1874</v>
      </c>
      <c r="G7" s="6" cm="1">
        <f t="array" ref="G7">_xlfn.XLOOKUP(1,(Лист2!A$2:A$505=A7)*(Лист2!B$2:B$505=B7),Лист2!E$2:E$505)</f>
        <v>1705</v>
      </c>
      <c r="H7">
        <f t="shared" si="0"/>
        <v>137259.928571429</v>
      </c>
      <c r="I7">
        <f t="shared" si="1"/>
        <v>20</v>
      </c>
    </row>
    <row r="8" ht="14.25" customHeight="1" spans="1:24">
      <c r="A8" s="10">
        <v>43960</v>
      </c>
      <c r="B8" s="11" t="s">
        <v>10</v>
      </c>
      <c r="C8" s="11">
        <v>31147.5</v>
      </c>
      <c r="D8" s="11">
        <v>2831019</v>
      </c>
      <c r="E8" s="6" cm="1">
        <f t="array" ref="E8">_xlfn.XLOOKUP(1,(Лист2!A$2:A$505=A8)*(Лист2!B$2:B$505=B8),Лист2!C$2:C$505)</f>
        <v>21</v>
      </c>
      <c r="F8" s="6" cm="1">
        <f t="array" ref="F8">_xlfn.XLOOKUP(1,(Лист2!A$2:A$505=A8)*(Лист2!B$2:B$505=B8),Лист2!D$2:D$505)</f>
        <v>1735</v>
      </c>
      <c r="G8" s="6" cm="1">
        <f t="array" ref="G8">_xlfn.XLOOKUP(1,(Лист2!A$2:A$505=A8)*(Лист2!B$2:B$505=B8),Лист2!E$2:E$505)</f>
        <v>1568</v>
      </c>
      <c r="H8">
        <f t="shared" si="0"/>
        <v>134810.428571429</v>
      </c>
      <c r="I8">
        <f t="shared" si="1"/>
        <v>19</v>
      </c>
    </row>
    <row r="9" ht="14.25" customHeight="1" spans="1:24">
      <c r="A9" s="12">
        <v>43955</v>
      </c>
      <c r="B9" s="13" t="s">
        <v>10</v>
      </c>
      <c r="C9" s="13">
        <v>25566</v>
      </c>
      <c r="D9" s="13">
        <v>2372310</v>
      </c>
      <c r="E9" s="6" cm="1">
        <f t="array" ref="E9">_xlfn.XLOOKUP(1,(Лист2!A$2:A$505=A9)*(Лист2!B$2:B$505=B9),Лист2!C$2:C$505)</f>
        <v>20</v>
      </c>
      <c r="F9" s="6" cm="1">
        <f t="array" ref="F9">_xlfn.XLOOKUP(1,(Лист2!A$2:A$505=A9)*(Лист2!B$2:B$505=B9),Лист2!D$2:D$505)</f>
        <v>1519</v>
      </c>
      <c r="G9" s="6" cm="1">
        <f t="array" ref="G9">_xlfn.XLOOKUP(1,(Лист2!A$2:A$505=A9)*(Лист2!B$2:B$505=B9),Лист2!E$2:E$505)</f>
        <v>1372</v>
      </c>
      <c r="H9">
        <f t="shared" si="0"/>
        <v>118615.5</v>
      </c>
      <c r="I9">
        <f t="shared" si="1"/>
        <v>19</v>
      </c>
    </row>
    <row r="10" ht="14.25" customHeight="1" spans="1:24">
      <c r="A10" s="10">
        <v>43950</v>
      </c>
      <c r="B10" s="11" t="s">
        <v>10</v>
      </c>
      <c r="C10" s="11">
        <v>29319</v>
      </c>
      <c r="D10" s="11">
        <v>2623480.5</v>
      </c>
      <c r="E10" s="6" cm="1">
        <f t="array" ref="E10">_xlfn.XLOOKUP(1,(Лист2!A$2:A$505=A10)*(Лист2!B$2:B$505=B10),Лист2!C$2:C$505)</f>
        <v>18</v>
      </c>
      <c r="F10" s="6" cm="1">
        <f t="array" ref="F10">_xlfn.XLOOKUP(1,(Лист2!A$2:A$505=A10)*(Лист2!B$2:B$505=B10),Лист2!D$2:D$505)</f>
        <v>1684</v>
      </c>
      <c r="G10" s="6" cm="1">
        <f t="array" ref="G10">_xlfn.XLOOKUP(1,(Лист2!A$2:A$505=A10)*(Лист2!B$2:B$505=B10),Лист2!E$2:E$505)</f>
        <v>1528</v>
      </c>
      <c r="H10">
        <f t="shared" si="0"/>
        <v>145748.916666667</v>
      </c>
      <c r="I10">
        <f t="shared" si="1"/>
        <v>18</v>
      </c>
    </row>
    <row r="11" ht="14.25" customHeight="1" spans="1:24">
      <c r="A11" s="12">
        <v>43953</v>
      </c>
      <c r="B11" s="13" t="s">
        <v>10</v>
      </c>
      <c r="C11" s="13">
        <v>29031</v>
      </c>
      <c r="D11" s="13">
        <v>2711247</v>
      </c>
      <c r="E11" s="6" cm="1">
        <f t="array" ref="E11">_xlfn.XLOOKUP(1,(Лист2!A$2:A$505=A11)*(Лист2!B$2:B$505=B11),Лист2!C$2:C$505)</f>
        <v>18</v>
      </c>
      <c r="F11" s="6" cm="1">
        <f t="array" ref="F11">_xlfn.XLOOKUP(1,(Лист2!A$2:A$505=A11)*(Лист2!B$2:B$505=B11),Лист2!D$2:D$505)</f>
        <v>1708</v>
      </c>
      <c r="G11" s="6" cm="1">
        <f t="array" ref="G11">_xlfn.XLOOKUP(1,(Лист2!A$2:A$505=A11)*(Лист2!B$2:B$505=B11),Лист2!E$2:E$505)</f>
        <v>1534</v>
      </c>
      <c r="H11">
        <f t="shared" si="0"/>
        <v>150624.833333333</v>
      </c>
      <c r="I11">
        <f t="shared" si="1"/>
        <v>18</v>
      </c>
    </row>
    <row r="12" ht="14.25" customHeight="1" spans="1:24">
      <c r="A12" s="10">
        <v>43977</v>
      </c>
      <c r="B12" s="11" t="s">
        <v>10</v>
      </c>
      <c r="C12" s="11">
        <v>33423</v>
      </c>
      <c r="D12" s="11">
        <v>2970330</v>
      </c>
      <c r="E12" s="6" cm="1">
        <f t="array" ref="E12">_xlfn.XLOOKUP(1,(Лист2!A$2:A$505=A12)*(Лист2!B$2:B$505=B12),Лист2!C$2:C$505)</f>
        <v>20</v>
      </c>
      <c r="F12" s="6" cm="1">
        <f t="array" ref="F12">_xlfn.XLOOKUP(1,(Лист2!A$2:A$505=A12)*(Лист2!B$2:B$505=B12),Лист2!D$2:D$505)</f>
        <v>2044</v>
      </c>
      <c r="G12" s="6" cm="1">
        <f t="array" ref="G12">_xlfn.XLOOKUP(1,(Лист2!A$2:A$505=A12)*(Лист2!B$2:B$505=B12),Лист2!E$2:E$505)</f>
        <v>1863</v>
      </c>
      <c r="H12">
        <f t="shared" si="0"/>
        <v>148516.5</v>
      </c>
      <c r="I12">
        <f t="shared" si="1"/>
        <v>22</v>
      </c>
    </row>
    <row r="13" ht="14.25" customHeight="1" spans="1:24">
      <c r="A13" s="12">
        <v>43952</v>
      </c>
      <c r="B13" s="13" t="s">
        <v>10</v>
      </c>
      <c r="C13" s="13">
        <v>32487</v>
      </c>
      <c r="D13" s="13">
        <v>3031254</v>
      </c>
      <c r="E13" s="6" cm="1">
        <f t="array" ref="E13">_xlfn.XLOOKUP(1,(Лист2!A$2:A$505=A13)*(Лист2!B$2:B$505=B13),Лист2!C$2:C$505)</f>
        <v>18</v>
      </c>
      <c r="F13" s="6" cm="1">
        <f t="array" ref="F13">_xlfn.XLOOKUP(1,(Лист2!A$2:A$505=A13)*(Лист2!B$2:B$505=B13),Лист2!D$2:D$505)</f>
        <v>1826</v>
      </c>
      <c r="G13" s="6" cm="1">
        <f t="array" ref="G13">_xlfn.XLOOKUP(1,(Лист2!A$2:A$505=A13)*(Лист2!B$2:B$505=B13),Лист2!E$2:E$505)</f>
        <v>1633</v>
      </c>
      <c r="H13">
        <f t="shared" si="0"/>
        <v>168403</v>
      </c>
      <c r="I13">
        <f t="shared" si="1"/>
        <v>18</v>
      </c>
    </row>
    <row r="14" ht="14.25" customHeight="1" spans="1:24">
      <c r="A14" s="10">
        <v>43963</v>
      </c>
      <c r="B14" s="11" t="s">
        <v>10</v>
      </c>
      <c r="C14" s="11">
        <v>28219.5</v>
      </c>
      <c r="D14" s="11">
        <v>2595778.5</v>
      </c>
      <c r="E14" s="6" cm="1">
        <f t="array" ref="E14">_xlfn.XLOOKUP(1,(Лист2!A$2:A$505=A14)*(Лист2!B$2:B$505=B14),Лист2!C$2:C$505)</f>
        <v>21</v>
      </c>
      <c r="F14" s="6" cm="1">
        <f t="array" ref="F14">_xlfn.XLOOKUP(1,(Лист2!A$2:A$505=A14)*(Лист2!B$2:B$505=B14),Лист2!D$2:D$505)</f>
        <v>1656</v>
      </c>
      <c r="G14" s="6" cm="1">
        <f t="array" ref="G14">_xlfn.XLOOKUP(1,(Лист2!A$2:A$505=A14)*(Лист2!B$2:B$505=B14),Лист2!E$2:E$505)</f>
        <v>1516</v>
      </c>
      <c r="H14">
        <f t="shared" si="0"/>
        <v>123608.5</v>
      </c>
      <c r="I14">
        <f t="shared" si="1"/>
        <v>20</v>
      </c>
    </row>
    <row r="15" ht="14.25" customHeight="1" spans="1:24">
      <c r="A15" s="12">
        <v>43972</v>
      </c>
      <c r="B15" s="13" t="s">
        <v>10</v>
      </c>
      <c r="C15" s="13">
        <v>31272</v>
      </c>
      <c r="D15" s="13">
        <v>2744382</v>
      </c>
      <c r="E15" s="6" cm="1">
        <f t="array" ref="E15">_xlfn.XLOOKUP(1,(Лист2!A$2:A$505=A15)*(Лист2!B$2:B$505=B15),Лист2!C$2:C$505)</f>
        <v>21</v>
      </c>
      <c r="F15" s="6" cm="1">
        <f t="array" ref="F15">_xlfn.XLOOKUP(1,(Лист2!A$2:A$505=A15)*(Лист2!B$2:B$505=B15),Лист2!D$2:D$505)</f>
        <v>1787</v>
      </c>
      <c r="G15" s="6" cm="1">
        <f t="array" ref="G15">_xlfn.XLOOKUP(1,(Лист2!A$2:A$505=A15)*(Лист2!B$2:B$505=B15),Лист2!E$2:E$505)</f>
        <v>1626</v>
      </c>
      <c r="H15">
        <f t="shared" si="0"/>
        <v>130684.857142857</v>
      </c>
      <c r="I15">
        <f t="shared" si="1"/>
        <v>21</v>
      </c>
    </row>
    <row r="16" ht="14.25" customHeight="1" spans="1:24">
      <c r="A16" s="10">
        <v>43971</v>
      </c>
      <c r="B16" s="11" t="s">
        <v>10</v>
      </c>
      <c r="C16" s="11">
        <v>34077</v>
      </c>
      <c r="D16" s="11">
        <v>2929330.5</v>
      </c>
      <c r="E16" s="6" cm="1">
        <f t="array" ref="E16">_xlfn.XLOOKUP(1,(Лист2!A$2:A$505=A16)*(Лист2!B$2:B$505=B16),Лист2!C$2:C$505)</f>
        <v>21</v>
      </c>
      <c r="F16" s="6" cm="1">
        <f t="array" ref="F16">_xlfn.XLOOKUP(1,(Лист2!A$2:A$505=A16)*(Лист2!B$2:B$505=B16),Лист2!D$2:D$505)</f>
        <v>1921</v>
      </c>
      <c r="G16" s="6" cm="1">
        <f t="array" ref="G16">_xlfn.XLOOKUP(1,(Лист2!A$2:A$505=A16)*(Лист2!B$2:B$505=B16),Лист2!E$2:E$505)</f>
        <v>1767</v>
      </c>
      <c r="H16">
        <f t="shared" si="0"/>
        <v>139491.928571429</v>
      </c>
      <c r="I16">
        <f t="shared" si="1"/>
        <v>21</v>
      </c>
    </row>
    <row r="17" ht="14.25" customHeight="1" spans="1:9">
      <c r="A17" s="12">
        <v>43956</v>
      </c>
      <c r="B17" s="13" t="s">
        <v>10</v>
      </c>
      <c r="C17" s="13">
        <v>31566</v>
      </c>
      <c r="D17" s="13">
        <v>2906763</v>
      </c>
      <c r="E17" s="6" cm="1">
        <f t="array" ref="E17">_xlfn.XLOOKUP(1,(Лист2!A$2:A$505=A17)*(Лист2!B$2:B$505=B17),Лист2!C$2:C$505)</f>
        <v>20</v>
      </c>
      <c r="F17" s="6" cm="1">
        <f t="array" ref="F17">_xlfn.XLOOKUP(1,(Лист2!A$2:A$505=A17)*(Лист2!B$2:B$505=B17),Лист2!D$2:D$505)</f>
        <v>1773</v>
      </c>
      <c r="G17" s="6" cm="1">
        <f t="array" ref="G17">_xlfn.XLOOKUP(1,(Лист2!A$2:A$505=A17)*(Лист2!B$2:B$505=B17),Лист2!E$2:E$505)</f>
        <v>1604</v>
      </c>
      <c r="H17">
        <f t="shared" si="0"/>
        <v>145338.15</v>
      </c>
      <c r="I17">
        <f t="shared" si="1"/>
        <v>19</v>
      </c>
    </row>
    <row r="18" ht="14.25" customHeight="1" spans="1:9">
      <c r="A18" s="10">
        <v>43949</v>
      </c>
      <c r="B18" s="11" t="s">
        <v>10</v>
      </c>
      <c r="C18" s="11">
        <v>26940</v>
      </c>
      <c r="D18" s="11">
        <v>2411587.5</v>
      </c>
      <c r="E18" s="6" cm="1">
        <f t="array" ref="E18">_xlfn.XLOOKUP(1,(Лист2!A$2:A$505=A18)*(Лист2!B$2:B$505=B18),Лист2!C$2:C$505)</f>
        <v>18</v>
      </c>
      <c r="F18" s="6" cm="1">
        <f t="array" ref="F18">_xlfn.XLOOKUP(1,(Лист2!A$2:A$505=A18)*(Лист2!B$2:B$505=B18),Лист2!D$2:D$505)</f>
        <v>1539</v>
      </c>
      <c r="G18" s="6" cm="1">
        <f t="array" ref="G18">_xlfn.XLOOKUP(1,(Лист2!A$2:A$505=A18)*(Лист2!B$2:B$505=B18),Лист2!E$2:E$505)</f>
        <v>1404</v>
      </c>
      <c r="H18">
        <f t="shared" si="0"/>
        <v>133977.083333333</v>
      </c>
      <c r="I18">
        <f t="shared" si="1"/>
        <v>18</v>
      </c>
    </row>
    <row r="19" ht="14.25" customHeight="1" spans="1:9">
      <c r="A19" s="12">
        <v>43964</v>
      </c>
      <c r="B19" s="13" t="s">
        <v>10</v>
      </c>
      <c r="C19" s="13">
        <v>29241</v>
      </c>
      <c r="D19" s="13">
        <v>2629782</v>
      </c>
      <c r="E19" s="6" cm="1">
        <f t="array" ref="E19">_xlfn.XLOOKUP(1,(Лист2!A$2:A$505=A19)*(Лист2!B$2:B$505=B19),Лист2!C$2:C$505)</f>
        <v>21</v>
      </c>
      <c r="F19" s="6" cm="1">
        <f t="array" ref="F19">_xlfn.XLOOKUP(1,(Лист2!A$2:A$505=A19)*(Лист2!B$2:B$505=B19),Лист2!D$2:D$505)</f>
        <v>1698</v>
      </c>
      <c r="G19" s="6" cm="1">
        <f t="array" ref="G19">_xlfn.XLOOKUP(1,(Лист2!A$2:A$505=A19)*(Лист2!B$2:B$505=B19),Лист2!E$2:E$505)</f>
        <v>1554</v>
      </c>
      <c r="H19">
        <f t="shared" si="0"/>
        <v>125227.714285714</v>
      </c>
      <c r="I19">
        <f t="shared" si="1"/>
        <v>20</v>
      </c>
    </row>
    <row r="20" ht="14.25" customHeight="1" spans="1:9">
      <c r="A20" s="10">
        <v>43954</v>
      </c>
      <c r="B20" s="11" t="s">
        <v>10</v>
      </c>
      <c r="C20" s="11">
        <v>26082</v>
      </c>
      <c r="D20" s="11">
        <v>2434914</v>
      </c>
      <c r="E20" s="6" cm="1">
        <f t="array" ref="E20">_xlfn.XLOOKUP(1,(Лист2!A$2:A$505=A20)*(Лист2!B$2:B$505=B20),Лист2!C$2:C$505)</f>
        <v>20</v>
      </c>
      <c r="F20" s="6" cm="1">
        <f t="array" ref="F20">_xlfn.XLOOKUP(1,(Лист2!A$2:A$505=A20)*(Лист2!B$2:B$505=B20),Лист2!D$2:D$505)</f>
        <v>1520</v>
      </c>
      <c r="G20" s="6" cm="1">
        <f t="array" ref="G20">_xlfn.XLOOKUP(1,(Лист2!A$2:A$505=A20)*(Лист2!B$2:B$505=B20),Лист2!E$2:E$505)</f>
        <v>1373</v>
      </c>
      <c r="H20">
        <f t="shared" si="0"/>
        <v>121745.7</v>
      </c>
      <c r="I20">
        <f t="shared" si="1"/>
        <v>18</v>
      </c>
    </row>
    <row r="21" ht="14.25" customHeight="1" spans="1:9">
      <c r="A21" s="12">
        <v>43957</v>
      </c>
      <c r="B21" s="13" t="s">
        <v>10</v>
      </c>
      <c r="C21" s="13">
        <v>32511</v>
      </c>
      <c r="D21" s="13">
        <v>2938623</v>
      </c>
      <c r="E21" s="6" cm="1">
        <f t="array" ref="E21">_xlfn.XLOOKUP(1,(Лист2!A$2:A$505=A21)*(Лист2!B$2:B$505=B21),Лист2!C$2:C$505)</f>
        <v>20</v>
      </c>
      <c r="F21" s="6" cm="1">
        <f t="array" ref="F21">_xlfn.XLOOKUP(1,(Лист2!A$2:A$505=A21)*(Лист2!B$2:B$505=B21),Лист2!D$2:D$505)</f>
        <v>1784</v>
      </c>
      <c r="G21" s="6" cm="1">
        <f t="array" ref="G21">_xlfn.XLOOKUP(1,(Лист2!A$2:A$505=A21)*(Лист2!B$2:B$505=B21),Лист2!E$2:E$505)</f>
        <v>1632</v>
      </c>
      <c r="H21">
        <f t="shared" si="0"/>
        <v>146931.15</v>
      </c>
      <c r="I21">
        <f t="shared" si="1"/>
        <v>19</v>
      </c>
    </row>
    <row r="22" ht="14.25" customHeight="1" spans="1:9">
      <c r="A22" s="10">
        <v>43974</v>
      </c>
      <c r="B22" s="11" t="s">
        <v>10</v>
      </c>
      <c r="C22" s="11">
        <v>42703.5</v>
      </c>
      <c r="D22" s="11">
        <v>3628726.5</v>
      </c>
      <c r="E22" s="6" cm="1">
        <f t="array" ref="E22">_xlfn.XLOOKUP(1,(Лист2!A$2:A$505=A22)*(Лист2!B$2:B$505=B22),Лист2!C$2:C$505)</f>
        <v>21</v>
      </c>
      <c r="F22" s="6" cm="1">
        <f t="array" ref="F22">_xlfn.XLOOKUP(1,(Лист2!A$2:A$505=A22)*(Лист2!B$2:B$505=B22),Лист2!D$2:D$505)</f>
        <v>2340</v>
      </c>
      <c r="G22" s="6" cm="1">
        <f t="array" ref="G22">_xlfn.XLOOKUP(1,(Лист2!A$2:A$505=A22)*(Лист2!B$2:B$505=B22),Лист2!E$2:E$505)</f>
        <v>2146</v>
      </c>
      <c r="H22">
        <f t="shared" si="0"/>
        <v>172796.5</v>
      </c>
      <c r="I22">
        <f t="shared" si="1"/>
        <v>21</v>
      </c>
    </row>
    <row r="23" ht="14.25" customHeight="1" spans="1:9">
      <c r="A23" s="12">
        <v>43976</v>
      </c>
      <c r="B23" s="13" t="s">
        <v>10</v>
      </c>
      <c r="C23" s="13">
        <v>35592</v>
      </c>
      <c r="D23" s="13">
        <v>3176580</v>
      </c>
      <c r="E23" s="6" cm="1">
        <f t="array" ref="E23">_xlfn.XLOOKUP(1,(Лист2!A$2:A$505=A23)*(Лист2!B$2:B$505=B23),Лист2!C$2:C$505)</f>
        <v>20</v>
      </c>
      <c r="F23" s="6" cm="1">
        <f t="array" ref="F23">_xlfn.XLOOKUP(1,(Лист2!A$2:A$505=A23)*(Лист2!B$2:B$505=B23),Лист2!D$2:D$505)</f>
        <v>2087</v>
      </c>
      <c r="G23" s="6" cm="1">
        <f t="array" ref="G23">_xlfn.XLOOKUP(1,(Лист2!A$2:A$505=A23)*(Лист2!B$2:B$505=B23),Лист2!E$2:E$505)</f>
        <v>1914</v>
      </c>
      <c r="H23">
        <f t="shared" si="0"/>
        <v>158829</v>
      </c>
      <c r="I23">
        <f t="shared" si="1"/>
        <v>22</v>
      </c>
    </row>
    <row r="24" ht="14.25" customHeight="1" spans="1:9">
      <c r="A24" s="10">
        <v>43951</v>
      </c>
      <c r="B24" s="11" t="s">
        <v>10</v>
      </c>
      <c r="C24" s="11">
        <v>30445.5</v>
      </c>
      <c r="D24" s="11">
        <v>2817196.5</v>
      </c>
      <c r="E24" s="6" cm="1">
        <f t="array" ref="E24">_xlfn.XLOOKUP(1,(Лист2!A$2:A$505=A24)*(Лист2!B$2:B$505=B24),Лист2!C$2:C$505)</f>
        <v>19</v>
      </c>
      <c r="F24" s="6" cm="1">
        <f t="array" ref="F24">_xlfn.XLOOKUP(1,(Лист2!A$2:A$505=A24)*(Лист2!B$2:B$505=B24),Лист2!D$2:D$505)</f>
        <v>1712</v>
      </c>
      <c r="G24" s="6" cm="1">
        <f t="array" ref="G24">_xlfn.XLOOKUP(1,(Лист2!A$2:A$505=A24)*(Лист2!B$2:B$505=B24),Лист2!E$2:E$505)</f>
        <v>1552</v>
      </c>
      <c r="H24">
        <f t="shared" si="0"/>
        <v>148273.5</v>
      </c>
      <c r="I24">
        <f t="shared" si="1"/>
        <v>18</v>
      </c>
    </row>
    <row r="25" ht="14.25" customHeight="1" spans="1:9">
      <c r="A25" s="12">
        <v>43961</v>
      </c>
      <c r="B25" s="13" t="s">
        <v>10</v>
      </c>
      <c r="C25" s="13">
        <v>36619.5</v>
      </c>
      <c r="D25" s="13">
        <v>3312967.5</v>
      </c>
      <c r="E25" s="6" cm="1">
        <f t="array" ref="E25">_xlfn.XLOOKUP(1,(Лист2!A$2:A$505=A25)*(Лист2!B$2:B$505=B25),Лист2!C$2:C$505)</f>
        <v>21</v>
      </c>
      <c r="F25" s="6" cm="1">
        <f t="array" ref="F25">_xlfn.XLOOKUP(1,(Лист2!A$2:A$505=A25)*(Лист2!B$2:B$505=B25),Лист2!D$2:D$505)</f>
        <v>2016</v>
      </c>
      <c r="G25" s="6" cm="1">
        <f t="array" ref="G25">_xlfn.XLOOKUP(1,(Лист2!A$2:A$505=A25)*(Лист2!B$2:B$505=B25),Лист2!E$2:E$505)</f>
        <v>1846</v>
      </c>
      <c r="H25">
        <f t="shared" si="0"/>
        <v>157760.357142857</v>
      </c>
      <c r="I25">
        <f t="shared" si="1"/>
        <v>19</v>
      </c>
    </row>
    <row r="26" ht="14.25" customHeight="1" spans="1:9">
      <c r="A26" s="10">
        <v>43959</v>
      </c>
      <c r="B26" s="11" t="s">
        <v>10</v>
      </c>
      <c r="C26" s="11">
        <v>29409</v>
      </c>
      <c r="D26" s="11">
        <v>2645160</v>
      </c>
      <c r="E26" s="6" cm="1">
        <f t="array" ref="E26">_xlfn.XLOOKUP(1,(Лист2!A$2:A$505=A26)*(Лист2!B$2:B$505=B26),Лист2!C$2:C$505)</f>
        <v>21</v>
      </c>
      <c r="F26" s="6" cm="1">
        <f t="array" ref="F26">_xlfn.XLOOKUP(1,(Лист2!A$2:A$505=A26)*(Лист2!B$2:B$505=B26),Лист2!D$2:D$505)</f>
        <v>1646</v>
      </c>
      <c r="G26" s="6" cm="1">
        <f t="array" ref="G26">_xlfn.XLOOKUP(1,(Лист2!A$2:A$505=A26)*(Лист2!B$2:B$505=B26),Лист2!E$2:E$505)</f>
        <v>1492</v>
      </c>
      <c r="H26">
        <f t="shared" si="0"/>
        <v>125960</v>
      </c>
      <c r="I26">
        <f t="shared" si="1"/>
        <v>19</v>
      </c>
    </row>
    <row r="27" ht="14.25" customHeight="1" spans="1:9">
      <c r="A27" s="12">
        <v>43958</v>
      </c>
      <c r="B27" s="13" t="s">
        <v>10</v>
      </c>
      <c r="C27" s="13">
        <v>27018</v>
      </c>
      <c r="D27" s="13">
        <v>2472213</v>
      </c>
      <c r="E27" s="6" cm="1">
        <f t="array" ref="E27">_xlfn.XLOOKUP(1,(Лист2!A$2:A$505=A27)*(Лист2!B$2:B$505=B27),Лист2!C$2:C$505)</f>
        <v>21</v>
      </c>
      <c r="F27" s="6" cm="1">
        <f t="array" ref="F27">_xlfn.XLOOKUP(1,(Лист2!A$2:A$505=A27)*(Лист2!B$2:B$505=B27),Лист2!D$2:D$505)</f>
        <v>1542</v>
      </c>
      <c r="G27" s="6" cm="1">
        <f t="array" ref="G27">_xlfn.XLOOKUP(1,(Лист2!A$2:A$505=A27)*(Лист2!B$2:B$505=B27),Лист2!E$2:E$505)</f>
        <v>1405</v>
      </c>
      <c r="H27">
        <f t="shared" si="0"/>
        <v>117724.428571429</v>
      </c>
      <c r="I27">
        <f t="shared" si="1"/>
        <v>19</v>
      </c>
    </row>
    <row r="28" ht="14.25" customHeight="1" spans="1:9">
      <c r="A28" s="10">
        <v>43975</v>
      </c>
      <c r="B28" s="11" t="s">
        <v>10</v>
      </c>
      <c r="C28" s="11">
        <v>34303.5</v>
      </c>
      <c r="D28" s="11">
        <v>2924746.5</v>
      </c>
      <c r="E28" s="6" cm="1">
        <f t="array" ref="E28">_xlfn.XLOOKUP(1,(Лист2!A$2:A$505=A28)*(Лист2!B$2:B$505=B28),Лист2!C$2:C$505)</f>
        <v>20</v>
      </c>
      <c r="F28" s="6" cm="1">
        <f t="array" ref="F28">_xlfn.XLOOKUP(1,(Лист2!A$2:A$505=A28)*(Лист2!B$2:B$505=B28),Лист2!D$2:D$505)</f>
        <v>1999</v>
      </c>
      <c r="G28" s="6" cm="1">
        <f t="array" ref="G28">_xlfn.XLOOKUP(1,(Лист2!A$2:A$505=A28)*(Лист2!B$2:B$505=B28),Лист2!E$2:E$505)</f>
        <v>1829</v>
      </c>
      <c r="H28">
        <f t="shared" si="0"/>
        <v>146237.325</v>
      </c>
      <c r="I28">
        <f t="shared" si="1"/>
        <v>21</v>
      </c>
    </row>
    <row r="29" ht="14.25" customHeight="1" spans="1:9">
      <c r="A29" s="12">
        <v>43982</v>
      </c>
      <c r="B29" s="13" t="s">
        <v>10</v>
      </c>
      <c r="C29" s="13">
        <v>36999</v>
      </c>
      <c r="D29" s="13">
        <v>3473895</v>
      </c>
      <c r="E29" s="6" cm="1">
        <f t="array" ref="E29">_xlfn.XLOOKUP(1,(Лист2!A$2:A$505=A29)*(Лист2!B$2:B$505=B29),Лист2!C$2:C$505)</f>
        <v>21</v>
      </c>
      <c r="F29" s="6" cm="1">
        <f t="array" ref="F29">_xlfn.XLOOKUP(1,(Лист2!A$2:A$505=A29)*(Лист2!B$2:B$505=B29),Лист2!D$2:D$505)</f>
        <v>2271</v>
      </c>
      <c r="G29" s="6" cm="1">
        <f t="array" ref="G29">_xlfn.XLOOKUP(1,(Лист2!A$2:A$505=A29)*(Лист2!B$2:B$505=B29),Лист2!E$2:E$505)</f>
        <v>2085</v>
      </c>
      <c r="H29">
        <f t="shared" si="0"/>
        <v>165423.571428571</v>
      </c>
      <c r="I29">
        <f t="shared" si="1"/>
        <v>22</v>
      </c>
    </row>
    <row r="30" ht="14.25" customHeight="1" spans="1:9">
      <c r="A30" s="10">
        <v>43981</v>
      </c>
      <c r="B30" s="11" t="s">
        <v>10</v>
      </c>
      <c r="C30" s="11">
        <v>44001</v>
      </c>
      <c r="D30" s="11">
        <v>3921784.5</v>
      </c>
      <c r="E30" s="6" cm="1">
        <f t="array" ref="E30">_xlfn.XLOOKUP(1,(Лист2!A$2:A$505=A30)*(Лист2!B$2:B$505=B30),Лист2!C$2:C$505)</f>
        <v>20</v>
      </c>
      <c r="F30" s="6" cm="1">
        <f t="array" ref="F30">_xlfn.XLOOKUP(1,(Лист2!A$2:A$505=A30)*(Лист2!B$2:B$505=B30),Лист2!D$2:D$505)</f>
        <v>2597</v>
      </c>
      <c r="G30" s="6" cm="1">
        <f t="array" ref="G30">_xlfn.XLOOKUP(1,(Лист2!A$2:A$505=A30)*(Лист2!B$2:B$505=B30),Лист2!E$2:E$505)</f>
        <v>2376</v>
      </c>
      <c r="H30">
        <f t="shared" si="0"/>
        <v>196089.225</v>
      </c>
      <c r="I30">
        <f t="shared" si="1"/>
        <v>22</v>
      </c>
    </row>
    <row r="31" ht="14.25" customHeight="1" spans="1:9">
      <c r="A31" s="12">
        <v>43979</v>
      </c>
      <c r="B31" s="13" t="s">
        <v>10</v>
      </c>
      <c r="C31" s="13">
        <v>30982.5</v>
      </c>
      <c r="D31" s="13">
        <v>2827773</v>
      </c>
      <c r="E31" s="6" cm="1">
        <f t="array" ref="E31">_xlfn.XLOOKUP(1,(Лист2!A$2:A$505=A31)*(Лист2!B$2:B$505=B31),Лист2!C$2:C$505)</f>
        <v>20</v>
      </c>
      <c r="F31" s="6" cm="1">
        <f t="array" ref="F31">_xlfn.XLOOKUP(1,(Лист2!A$2:A$505=A31)*(Лист2!B$2:B$505=B31),Лист2!D$2:D$505)</f>
        <v>1886</v>
      </c>
      <c r="G31" s="6" cm="1">
        <f t="array" ref="G31">_xlfn.XLOOKUP(1,(Лист2!A$2:A$505=A31)*(Лист2!B$2:B$505=B31),Лист2!E$2:E$505)</f>
        <v>1736</v>
      </c>
      <c r="H31">
        <f t="shared" si="0"/>
        <v>141388.65</v>
      </c>
      <c r="I31">
        <f t="shared" si="1"/>
        <v>22</v>
      </c>
    </row>
    <row r="32" ht="14.25" customHeight="1" spans="1:9">
      <c r="A32" s="10">
        <v>43967</v>
      </c>
      <c r="B32" s="11" t="s">
        <v>11</v>
      </c>
      <c r="C32" s="11">
        <v>88063.5</v>
      </c>
      <c r="D32" s="11">
        <v>7583758.5</v>
      </c>
      <c r="E32" s="6" cm="1">
        <f t="array" ref="E32">_xlfn.XLOOKUP(1,(Лист2!A$2:A$505=A32)*(Лист2!B$2:B$505=B32),Лист2!C$2:C$505)</f>
        <v>31</v>
      </c>
      <c r="F32" s="6" cm="1">
        <f t="array" ref="F32">_xlfn.XLOOKUP(1,(Лист2!A$2:A$505=A32)*(Лист2!B$2:B$505=B32),Лист2!D$2:D$505)</f>
        <v>5593</v>
      </c>
      <c r="G32" s="6" cm="1">
        <f t="array" ref="G32">_xlfn.XLOOKUP(1,(Лист2!A$2:A$505=A32)*(Лист2!B$2:B$505=B32),Лист2!E$2:E$505)</f>
        <v>5177</v>
      </c>
      <c r="H32">
        <f t="shared" si="0"/>
        <v>244637.370967742</v>
      </c>
      <c r="I32">
        <f t="shared" si="1"/>
        <v>20</v>
      </c>
    </row>
    <row r="33" ht="14.25" customHeight="1" spans="1:9">
      <c r="A33" s="12">
        <v>43970</v>
      </c>
      <c r="B33" s="13" t="s">
        <v>11</v>
      </c>
      <c r="C33" s="13">
        <v>84024</v>
      </c>
      <c r="D33" s="13">
        <v>6815511</v>
      </c>
      <c r="E33" s="6" cm="1">
        <f t="array" ref="E33">_xlfn.XLOOKUP(1,(Лист2!A$2:A$505=A33)*(Лист2!B$2:B$505=B33),Лист2!C$2:C$505)</f>
        <v>31</v>
      </c>
      <c r="F33" s="6" cm="1">
        <f t="array" ref="F33">_xlfn.XLOOKUP(1,(Лист2!A$2:A$505=A33)*(Лист2!B$2:B$505=B33),Лист2!D$2:D$505)</f>
        <v>5389</v>
      </c>
      <c r="G33" s="6" cm="1">
        <f t="array" ref="G33">_xlfn.XLOOKUP(1,(Лист2!A$2:A$505=A33)*(Лист2!B$2:B$505=B33),Лист2!E$2:E$505)</f>
        <v>5024</v>
      </c>
      <c r="H33">
        <f t="shared" si="0"/>
        <v>219855.193548387</v>
      </c>
      <c r="I33">
        <f t="shared" si="1"/>
        <v>21</v>
      </c>
    </row>
    <row r="34" ht="14.25" customHeight="1" spans="1:9">
      <c r="A34" s="10">
        <v>43968</v>
      </c>
      <c r="B34" s="11" t="s">
        <v>11</v>
      </c>
      <c r="C34" s="11">
        <v>78057</v>
      </c>
      <c r="D34" s="11">
        <v>6774946.5</v>
      </c>
      <c r="E34" s="6" cm="1">
        <f t="array" ref="E34">_xlfn.XLOOKUP(1,(Лист2!A$2:A$505=A34)*(Лист2!B$2:B$505=B34),Лист2!C$2:C$505)</f>
        <v>31</v>
      </c>
      <c r="F34" s="6" cm="1">
        <f t="array" ref="F34">_xlfn.XLOOKUP(1,(Лист2!A$2:A$505=A34)*(Лист2!B$2:B$505=B34),Лист2!D$2:D$505)</f>
        <v>5206</v>
      </c>
      <c r="G34" s="6" cm="1">
        <f t="array" ref="G34">_xlfn.XLOOKUP(1,(Лист2!A$2:A$505=A34)*(Лист2!B$2:B$505=B34),Лист2!E$2:E$505)</f>
        <v>4843</v>
      </c>
      <c r="H34">
        <f t="shared" si="0"/>
        <v>218546.661290323</v>
      </c>
      <c r="I34">
        <f t="shared" si="1"/>
        <v>20</v>
      </c>
    </row>
    <row r="35" ht="14.25" customHeight="1" spans="1:9">
      <c r="A35" s="12">
        <v>43960</v>
      </c>
      <c r="B35" s="13" t="s">
        <v>11</v>
      </c>
      <c r="C35" s="13">
        <v>69720</v>
      </c>
      <c r="D35" s="13">
        <v>6264933</v>
      </c>
      <c r="E35" s="6" cm="1">
        <f t="array" ref="E35">_xlfn.XLOOKUP(1,(Лист2!A$2:A$505=A35)*(Лист2!B$2:B$505=B35),Лист2!C$2:C$505)</f>
        <v>31</v>
      </c>
      <c r="F35" s="6" cm="1">
        <f t="array" ref="F35">_xlfn.XLOOKUP(1,(Лист2!A$2:A$505=A35)*(Лист2!B$2:B$505=B35),Лист2!D$2:D$505)</f>
        <v>4556</v>
      </c>
      <c r="G35" s="6" cm="1">
        <f t="array" ref="G35">_xlfn.XLOOKUP(1,(Лист2!A$2:A$505=A35)*(Лист2!B$2:B$505=B35),Лист2!E$2:E$505)</f>
        <v>4220</v>
      </c>
      <c r="H35">
        <f t="shared" si="0"/>
        <v>202094.612903226</v>
      </c>
      <c r="I35">
        <f t="shared" si="1"/>
        <v>19</v>
      </c>
    </row>
    <row r="36" ht="14.25" customHeight="1" spans="1:9">
      <c r="A36" s="10">
        <v>43955</v>
      </c>
      <c r="B36" s="11" t="s">
        <v>11</v>
      </c>
      <c r="C36" s="11">
        <v>72928.5</v>
      </c>
      <c r="D36" s="11">
        <v>6642249</v>
      </c>
      <c r="E36" s="6" cm="1">
        <f t="array" ref="E36">_xlfn.XLOOKUP(1,(Лист2!A$2:A$505=A36)*(Лист2!B$2:B$505=B36),Лист2!C$2:C$505)</f>
        <v>31</v>
      </c>
      <c r="F36" s="6" cm="1">
        <f t="array" ref="F36">_xlfn.XLOOKUP(1,(Лист2!A$2:A$505=A36)*(Лист2!B$2:B$505=B36),Лист2!D$2:D$505)</f>
        <v>4968</v>
      </c>
      <c r="G36" s="6" cm="1">
        <f t="array" ref="G36">_xlfn.XLOOKUP(1,(Лист2!A$2:A$505=A36)*(Лист2!B$2:B$505=B36),Лист2!E$2:E$505)</f>
        <v>4596</v>
      </c>
      <c r="H36">
        <f t="shared" si="0"/>
        <v>214266.096774194</v>
      </c>
      <c r="I36">
        <f t="shared" si="1"/>
        <v>19</v>
      </c>
    </row>
    <row r="37" ht="14.25" customHeight="1" spans="1:9">
      <c r="A37" s="12">
        <v>43950</v>
      </c>
      <c r="B37" s="13" t="s">
        <v>11</v>
      </c>
      <c r="C37" s="13">
        <v>79527</v>
      </c>
      <c r="D37" s="13">
        <v>7180498.5</v>
      </c>
      <c r="E37" s="6" cm="1">
        <f t="array" ref="E37">_xlfn.XLOOKUP(1,(Лист2!A$2:A$505=A37)*(Лист2!B$2:B$505=B37),Лист2!C$2:C$505)</f>
        <v>31</v>
      </c>
      <c r="F37" s="6" cm="1">
        <f t="array" ref="F37">_xlfn.XLOOKUP(1,(Лист2!A$2:A$505=A37)*(Лист2!B$2:B$505=B37),Лист2!D$2:D$505)</f>
        <v>5378</v>
      </c>
      <c r="G37" s="6" cm="1">
        <f t="array" ref="G37">_xlfn.XLOOKUP(1,(Лист2!A$2:A$505=A37)*(Лист2!B$2:B$505=B37),Лист2!E$2:E$505)</f>
        <v>4985</v>
      </c>
      <c r="H37">
        <f t="shared" si="0"/>
        <v>231628.983870968</v>
      </c>
      <c r="I37">
        <f t="shared" si="1"/>
        <v>18</v>
      </c>
    </row>
    <row r="38" ht="14.25" customHeight="1" spans="1:9">
      <c r="A38" s="10">
        <v>43953</v>
      </c>
      <c r="B38" s="11" t="s">
        <v>11</v>
      </c>
      <c r="C38" s="11">
        <v>60463.5</v>
      </c>
      <c r="D38" s="11">
        <v>5554192.5</v>
      </c>
      <c r="E38" s="6" cm="1">
        <f t="array" ref="E38">_xlfn.XLOOKUP(1,(Лист2!A$2:A$505=A38)*(Лист2!B$2:B$505=B38),Лист2!C$2:C$505)</f>
        <v>31</v>
      </c>
      <c r="F38" s="6" cm="1">
        <f t="array" ref="F38">_xlfn.XLOOKUP(1,(Лист2!A$2:A$505=A38)*(Лист2!B$2:B$505=B38),Лист2!D$2:D$505)</f>
        <v>4157</v>
      </c>
      <c r="G38" s="6" cm="1">
        <f t="array" ref="G38">_xlfn.XLOOKUP(1,(Лист2!A$2:A$505=A38)*(Лист2!B$2:B$505=B38),Лист2!E$2:E$505)</f>
        <v>3823</v>
      </c>
      <c r="H38">
        <f t="shared" si="0"/>
        <v>179167.5</v>
      </c>
      <c r="I38">
        <f t="shared" si="1"/>
        <v>18</v>
      </c>
    </row>
    <row r="39" ht="14.25" customHeight="1" spans="1:9">
      <c r="A39" s="12">
        <v>43977</v>
      </c>
      <c r="B39" s="13" t="s">
        <v>11</v>
      </c>
      <c r="C39" s="13">
        <v>79975.5</v>
      </c>
      <c r="D39" s="13">
        <v>6676459.5</v>
      </c>
      <c r="E39" s="6" cm="1">
        <f t="array" ref="E39">_xlfn.XLOOKUP(1,(Лист2!A$2:A$505=A39)*(Лист2!B$2:B$505=B39),Лист2!C$2:C$505)</f>
        <v>31</v>
      </c>
      <c r="F39" s="6" cm="1">
        <f t="array" ref="F39">_xlfn.XLOOKUP(1,(Лист2!A$2:A$505=A39)*(Лист2!B$2:B$505=B39),Лист2!D$2:D$505)</f>
        <v>5493</v>
      </c>
      <c r="G39" s="6" cm="1">
        <f t="array" ref="G39">_xlfn.XLOOKUP(1,(Лист2!A$2:A$505=A39)*(Лист2!B$2:B$505=B39),Лист2!E$2:E$505)</f>
        <v>5119</v>
      </c>
      <c r="H39">
        <f t="shared" si="0"/>
        <v>215369.661290323</v>
      </c>
      <c r="I39">
        <f t="shared" si="1"/>
        <v>22</v>
      </c>
    </row>
    <row r="40" ht="14.25" customHeight="1" spans="1:9">
      <c r="A40" s="10">
        <v>43952</v>
      </c>
      <c r="B40" s="11" t="s">
        <v>11</v>
      </c>
      <c r="C40" s="11">
        <v>97534.5</v>
      </c>
      <c r="D40" s="11">
        <v>8893024.5</v>
      </c>
      <c r="E40" s="6" cm="1">
        <f t="array" ref="E40">_xlfn.XLOOKUP(1,(Лист2!A$2:A$505=A40)*(Лист2!B$2:B$505=B40),Лист2!C$2:C$505)</f>
        <v>31</v>
      </c>
      <c r="F40" s="6" cm="1">
        <f t="array" ref="F40">_xlfn.XLOOKUP(1,(Лист2!A$2:A$505=A40)*(Лист2!B$2:B$505=B40),Лист2!D$2:D$505)</f>
        <v>6118</v>
      </c>
      <c r="G40" s="6" cm="1">
        <f t="array" ref="G40">_xlfn.XLOOKUP(1,(Лист2!A$2:A$505=A40)*(Лист2!B$2:B$505=B40),Лист2!E$2:E$505)</f>
        <v>5564</v>
      </c>
      <c r="H40">
        <f t="shared" si="0"/>
        <v>286871.758064516</v>
      </c>
      <c r="I40">
        <f t="shared" si="1"/>
        <v>18</v>
      </c>
    </row>
    <row r="41" ht="14.25" customHeight="1" spans="1:9">
      <c r="A41" s="12">
        <v>43963</v>
      </c>
      <c r="B41" s="13" t="s">
        <v>11</v>
      </c>
      <c r="C41" s="13">
        <v>71520</v>
      </c>
      <c r="D41" s="13">
        <v>6398361</v>
      </c>
      <c r="E41" s="6" cm="1">
        <f t="array" ref="E41">_xlfn.XLOOKUP(1,(Лист2!A$2:A$505=A41)*(Лист2!B$2:B$505=B41),Лист2!C$2:C$505)</f>
        <v>31</v>
      </c>
      <c r="F41" s="6" cm="1">
        <f t="array" ref="F41">_xlfn.XLOOKUP(1,(Лист2!A$2:A$505=A41)*(Лист2!B$2:B$505=B41),Лист2!D$2:D$505)</f>
        <v>4800</v>
      </c>
      <c r="G41" s="6" cm="1">
        <f t="array" ref="G41">_xlfn.XLOOKUP(1,(Лист2!A$2:A$505=A41)*(Лист2!B$2:B$505=B41),Лист2!E$2:E$505)</f>
        <v>4470</v>
      </c>
      <c r="H41">
        <f t="shared" si="0"/>
        <v>206398.741935484</v>
      </c>
      <c r="I41">
        <f t="shared" si="1"/>
        <v>20</v>
      </c>
    </row>
    <row r="42" ht="14.25" customHeight="1" spans="1:9">
      <c r="A42" s="10">
        <v>43972</v>
      </c>
      <c r="B42" s="11" t="s">
        <v>11</v>
      </c>
      <c r="C42" s="11">
        <v>79485</v>
      </c>
      <c r="D42" s="11">
        <v>6633847.5</v>
      </c>
      <c r="E42" s="6" cm="1">
        <f t="array" ref="E42">_xlfn.XLOOKUP(1,(Лист2!A$2:A$505=A42)*(Лист2!B$2:B$505=B42),Лист2!C$2:C$505)</f>
        <v>31</v>
      </c>
      <c r="F42" s="6" cm="1">
        <f t="array" ref="F42">_xlfn.XLOOKUP(1,(Лист2!A$2:A$505=A42)*(Лист2!B$2:B$505=B42),Лист2!D$2:D$505)</f>
        <v>5207</v>
      </c>
      <c r="G42" s="6" cm="1">
        <f t="array" ref="G42">_xlfn.XLOOKUP(1,(Лист2!A$2:A$505=A42)*(Лист2!B$2:B$505=B42),Лист2!E$2:E$505)</f>
        <v>4868</v>
      </c>
      <c r="H42">
        <f t="shared" si="0"/>
        <v>213995.080645161</v>
      </c>
      <c r="I42">
        <f t="shared" si="1"/>
        <v>21</v>
      </c>
    </row>
    <row r="43" ht="14.25" customHeight="1" spans="1:9">
      <c r="A43" s="12">
        <v>43971</v>
      </c>
      <c r="B43" s="13" t="s">
        <v>11</v>
      </c>
      <c r="C43" s="13">
        <v>93313.5</v>
      </c>
      <c r="D43" s="13">
        <v>7247575.5</v>
      </c>
      <c r="E43" s="6" cm="1">
        <f t="array" ref="E43">_xlfn.XLOOKUP(1,(Лист2!A$2:A$505=A43)*(Лист2!B$2:B$505=B43),Лист2!C$2:C$505)</f>
        <v>31</v>
      </c>
      <c r="F43" s="6" cm="1">
        <f t="array" ref="F43">_xlfn.XLOOKUP(1,(Лист2!A$2:A$505=A43)*(Лист2!B$2:B$505=B43),Лист2!D$2:D$505)</f>
        <v>5698</v>
      </c>
      <c r="G43" s="6" cm="1">
        <f t="array" ref="G43">_xlfn.XLOOKUP(1,(Лист2!A$2:A$505=A43)*(Лист2!B$2:B$505=B43),Лист2!E$2:E$505)</f>
        <v>5258</v>
      </c>
      <c r="H43">
        <f t="shared" si="0"/>
        <v>233792.758064516</v>
      </c>
      <c r="I43">
        <f t="shared" si="1"/>
        <v>21</v>
      </c>
    </row>
    <row r="44" ht="14.25" customHeight="1" spans="1:9">
      <c r="A44" s="10">
        <v>43956</v>
      </c>
      <c r="B44" s="11" t="s">
        <v>11</v>
      </c>
      <c r="C44" s="11">
        <v>76585.5</v>
      </c>
      <c r="D44" s="11">
        <v>6921316.5</v>
      </c>
      <c r="E44" s="6" cm="1">
        <f t="array" ref="E44">_xlfn.XLOOKUP(1,(Лист2!A$2:A$505=A44)*(Лист2!B$2:B$505=B44),Лист2!C$2:C$505)</f>
        <v>31</v>
      </c>
      <c r="F44" s="6" cm="1">
        <f t="array" ref="F44">_xlfn.XLOOKUP(1,(Лист2!A$2:A$505=A44)*(Лист2!B$2:B$505=B44),Лист2!D$2:D$505)</f>
        <v>5188</v>
      </c>
      <c r="G44" s="6" cm="1">
        <f t="array" ref="G44">_xlfn.XLOOKUP(1,(Лист2!A$2:A$505=A44)*(Лист2!B$2:B$505=B44),Лист2!E$2:E$505)</f>
        <v>4800</v>
      </c>
      <c r="H44">
        <f t="shared" si="0"/>
        <v>223268.274193548</v>
      </c>
      <c r="I44">
        <f t="shared" si="1"/>
        <v>19</v>
      </c>
    </row>
    <row r="45" ht="14.25" customHeight="1" spans="1:9">
      <c r="A45" s="12">
        <v>43949</v>
      </c>
      <c r="B45" s="13" t="s">
        <v>11</v>
      </c>
      <c r="C45" s="13">
        <v>81826.5</v>
      </c>
      <c r="D45" s="13">
        <v>7163644.5</v>
      </c>
      <c r="E45" s="6" cm="1">
        <f t="array" ref="E45">_xlfn.XLOOKUP(1,(Лист2!A$2:A$505=A45)*(Лист2!B$2:B$505=B45),Лист2!C$2:C$505)</f>
        <v>31</v>
      </c>
      <c r="F45" s="6" cm="1">
        <f t="array" ref="F45">_xlfn.XLOOKUP(1,(Лист2!A$2:A$505=A45)*(Лист2!B$2:B$505=B45),Лист2!D$2:D$505)</f>
        <v>5465</v>
      </c>
      <c r="G45" s="6" cm="1">
        <f t="array" ref="G45">_xlfn.XLOOKUP(1,(Лист2!A$2:A$505=A45)*(Лист2!B$2:B$505=B45),Лист2!E$2:E$505)</f>
        <v>5096</v>
      </c>
      <c r="H45">
        <f t="shared" si="0"/>
        <v>231085.306451613</v>
      </c>
      <c r="I45">
        <f t="shared" si="1"/>
        <v>18</v>
      </c>
    </row>
    <row r="46" ht="14.25" customHeight="1" spans="1:9">
      <c r="A46" s="10">
        <v>43964</v>
      </c>
      <c r="B46" s="11" t="s">
        <v>11</v>
      </c>
      <c r="C46" s="11">
        <v>78846</v>
      </c>
      <c r="D46" s="11">
        <v>6993952.5</v>
      </c>
      <c r="E46" s="6" cm="1">
        <f t="array" ref="E46">_xlfn.XLOOKUP(1,(Лист2!A$2:A$505=A46)*(Лист2!B$2:B$505=B46),Лист2!C$2:C$505)</f>
        <v>31</v>
      </c>
      <c r="F46" s="6" cm="1">
        <f t="array" ref="F46">_xlfn.XLOOKUP(1,(Лист2!A$2:A$505=A46)*(Лист2!B$2:B$505=B46),Лист2!D$2:D$505)</f>
        <v>5251</v>
      </c>
      <c r="G46" s="6" cm="1">
        <f t="array" ref="G46">_xlfn.XLOOKUP(1,(Лист2!A$2:A$505=A46)*(Лист2!B$2:B$505=B46),Лист2!E$2:E$505)</f>
        <v>4853</v>
      </c>
      <c r="H46">
        <f t="shared" si="0"/>
        <v>225611.370967742</v>
      </c>
      <c r="I46">
        <f t="shared" si="1"/>
        <v>20</v>
      </c>
    </row>
    <row r="47" ht="14.25" customHeight="1" spans="1:9">
      <c r="A47" s="12">
        <v>43954</v>
      </c>
      <c r="B47" s="13" t="s">
        <v>11</v>
      </c>
      <c r="C47" s="13">
        <v>77263.5</v>
      </c>
      <c r="D47" s="13">
        <v>7013670</v>
      </c>
      <c r="E47" s="6" cm="1">
        <f t="array" ref="E47">_xlfn.XLOOKUP(1,(Лист2!A$2:A$505=A47)*(Лист2!B$2:B$505=B47),Лист2!C$2:C$505)</f>
        <v>31</v>
      </c>
      <c r="F47" s="6" cm="1">
        <f t="array" ref="F47">_xlfn.XLOOKUP(1,(Лист2!A$2:A$505=A47)*(Лист2!B$2:B$505=B47),Лист2!D$2:D$505)</f>
        <v>5155</v>
      </c>
      <c r="G47" s="6" cm="1">
        <f t="array" ref="G47">_xlfn.XLOOKUP(1,(Лист2!A$2:A$505=A47)*(Лист2!B$2:B$505=B47),Лист2!E$2:E$505)</f>
        <v>4762</v>
      </c>
      <c r="H47">
        <f t="shared" si="0"/>
        <v>226247.419354839</v>
      </c>
      <c r="I47">
        <f t="shared" si="1"/>
        <v>18</v>
      </c>
    </row>
    <row r="48" ht="14.25" customHeight="1" spans="1:9">
      <c r="A48" s="10">
        <v>43957</v>
      </c>
      <c r="B48" s="11" t="s">
        <v>11</v>
      </c>
      <c r="C48" s="11">
        <v>68994</v>
      </c>
      <c r="D48" s="11">
        <v>6168657</v>
      </c>
      <c r="E48" s="6" cm="1">
        <f t="array" ref="E48">_xlfn.XLOOKUP(1,(Лист2!A$2:A$505=A48)*(Лист2!B$2:B$505=B48),Лист2!C$2:C$505)</f>
        <v>31</v>
      </c>
      <c r="F48" s="6" cm="1">
        <f t="array" ref="F48">_xlfn.XLOOKUP(1,(Лист2!A$2:A$505=A48)*(Лист2!B$2:B$505=B48),Лист2!D$2:D$505)</f>
        <v>4709</v>
      </c>
      <c r="G48" s="6" cm="1">
        <f t="array" ref="G48">_xlfn.XLOOKUP(1,(Лист2!A$2:A$505=A48)*(Лист2!B$2:B$505=B48),Лист2!E$2:E$505)</f>
        <v>4348</v>
      </c>
      <c r="H48">
        <f t="shared" si="0"/>
        <v>198988.935483871</v>
      </c>
      <c r="I48">
        <f t="shared" si="1"/>
        <v>19</v>
      </c>
    </row>
    <row r="49" ht="14.25" customHeight="1" spans="1:9">
      <c r="A49" s="12">
        <v>43974</v>
      </c>
      <c r="B49" s="13" t="s">
        <v>11</v>
      </c>
      <c r="C49" s="13">
        <v>102889.5</v>
      </c>
      <c r="D49" s="13">
        <v>8089143</v>
      </c>
      <c r="E49" s="6" cm="1">
        <f t="array" ref="E49">_xlfn.XLOOKUP(1,(Лист2!A$2:A$505=A49)*(Лист2!B$2:B$505=B49),Лист2!C$2:C$505)</f>
        <v>31</v>
      </c>
      <c r="F49" s="6" cm="1">
        <f t="array" ref="F49">_xlfn.XLOOKUP(1,(Лист2!A$2:A$505=A49)*(Лист2!B$2:B$505=B49),Лист2!D$2:D$505)</f>
        <v>6276</v>
      </c>
      <c r="G49" s="6" cm="1">
        <f t="array" ref="G49">_xlfn.XLOOKUP(1,(Лист2!A$2:A$505=A49)*(Лист2!B$2:B$505=B49),Лист2!E$2:E$505)</f>
        <v>5801</v>
      </c>
      <c r="H49">
        <f t="shared" si="0"/>
        <v>260940.096774194</v>
      </c>
      <c r="I49">
        <f t="shared" si="1"/>
        <v>21</v>
      </c>
    </row>
    <row r="50" ht="14.25" customHeight="1" spans="1:9">
      <c r="A50" s="10">
        <v>43976</v>
      </c>
      <c r="B50" s="11" t="s">
        <v>11</v>
      </c>
      <c r="C50" s="11">
        <v>76999.5</v>
      </c>
      <c r="D50" s="11">
        <v>6645603</v>
      </c>
      <c r="E50" s="6" cm="1">
        <f t="array" ref="E50">_xlfn.XLOOKUP(1,(Лист2!A$2:A$505=A50)*(Лист2!B$2:B$505=B50),Лист2!C$2:C$505)</f>
        <v>31</v>
      </c>
      <c r="F50" s="6" cm="1">
        <f t="array" ref="F50">_xlfn.XLOOKUP(1,(Лист2!A$2:A$505=A50)*(Лист2!B$2:B$505=B50),Лист2!D$2:D$505)</f>
        <v>5210</v>
      </c>
      <c r="G50" s="6" cm="1">
        <f t="array" ref="G50">_xlfn.XLOOKUP(1,(Лист2!A$2:A$505=A50)*(Лист2!B$2:B$505=B50),Лист2!E$2:E$505)</f>
        <v>4841</v>
      </c>
      <c r="H50">
        <f t="shared" si="0"/>
        <v>214374.290322581</v>
      </c>
      <c r="I50">
        <f t="shared" si="1"/>
        <v>22</v>
      </c>
    </row>
    <row r="51" ht="14.25" customHeight="1" spans="1:9">
      <c r="A51" s="12">
        <v>43951</v>
      </c>
      <c r="B51" s="13" t="s">
        <v>11</v>
      </c>
      <c r="C51" s="13">
        <v>77565</v>
      </c>
      <c r="D51" s="13">
        <v>7023727.5</v>
      </c>
      <c r="E51" s="6" cm="1">
        <f t="array" ref="E51">_xlfn.XLOOKUP(1,(Лист2!A$2:A$505=A51)*(Лист2!B$2:B$505=B51),Лист2!C$2:C$505)</f>
        <v>31</v>
      </c>
      <c r="F51" s="6" cm="1">
        <f t="array" ref="F51">_xlfn.XLOOKUP(1,(Лист2!A$2:A$505=A51)*(Лист2!B$2:B$505=B51),Лист2!D$2:D$505)</f>
        <v>5120</v>
      </c>
      <c r="G51" s="6" cm="1">
        <f t="array" ref="G51">_xlfn.XLOOKUP(1,(Лист2!A$2:A$505=A51)*(Лист2!B$2:B$505=B51),Лист2!E$2:E$505)</f>
        <v>4737</v>
      </c>
      <c r="H51">
        <f t="shared" si="0"/>
        <v>226571.85483871</v>
      </c>
      <c r="I51">
        <f t="shared" si="1"/>
        <v>18</v>
      </c>
    </row>
    <row r="52" ht="14.25" customHeight="1" spans="1:9">
      <c r="A52" s="10">
        <v>43961</v>
      </c>
      <c r="B52" s="11" t="s">
        <v>11</v>
      </c>
      <c r="C52" s="11">
        <v>84132</v>
      </c>
      <c r="D52" s="11">
        <v>7483194</v>
      </c>
      <c r="E52" s="6" cm="1">
        <f t="array" ref="E52">_xlfn.XLOOKUP(1,(Лист2!A$2:A$505=A52)*(Лист2!B$2:B$505=B52),Лист2!C$2:C$505)</f>
        <v>31</v>
      </c>
      <c r="F52" s="6" cm="1">
        <f t="array" ref="F52">_xlfn.XLOOKUP(1,(Лист2!A$2:A$505=A52)*(Лист2!B$2:B$505=B52),Лист2!D$2:D$505)</f>
        <v>5495</v>
      </c>
      <c r="G52" s="6" cm="1">
        <f t="array" ref="G52">_xlfn.XLOOKUP(1,(Лист2!A$2:A$505=A52)*(Лист2!B$2:B$505=B52),Лист2!E$2:E$505)</f>
        <v>5093</v>
      </c>
      <c r="H52">
        <f t="shared" si="0"/>
        <v>241393.35483871</v>
      </c>
      <c r="I52">
        <f t="shared" si="1"/>
        <v>19</v>
      </c>
    </row>
    <row r="53" ht="14.25" customHeight="1" spans="1:9">
      <c r="A53" s="12">
        <v>43959</v>
      </c>
      <c r="B53" s="13" t="s">
        <v>11</v>
      </c>
      <c r="C53" s="13">
        <v>69544.5</v>
      </c>
      <c r="D53" s="13">
        <v>6293776.5</v>
      </c>
      <c r="E53" s="6" cm="1">
        <f t="array" ref="E53">_xlfn.XLOOKUP(1,(Лист2!A$2:A$505=A53)*(Лист2!B$2:B$505=B53),Лист2!C$2:C$505)</f>
        <v>31</v>
      </c>
      <c r="F53" s="6" cm="1">
        <f t="array" ref="F53">_xlfn.XLOOKUP(1,(Лист2!A$2:A$505=A53)*(Лист2!B$2:B$505=B53),Лист2!D$2:D$505)</f>
        <v>4635</v>
      </c>
      <c r="G53" s="6" cm="1">
        <f t="array" ref="G53">_xlfn.XLOOKUP(1,(Лист2!A$2:A$505=A53)*(Лист2!B$2:B$505=B53),Лист2!E$2:E$505)</f>
        <v>4266</v>
      </c>
      <c r="H53">
        <f t="shared" si="0"/>
        <v>203025.048387097</v>
      </c>
      <c r="I53">
        <f t="shared" si="1"/>
        <v>19</v>
      </c>
    </row>
    <row r="54" ht="14.25" customHeight="1" spans="1:9">
      <c r="A54" s="10">
        <v>43958</v>
      </c>
      <c r="B54" s="11" t="s">
        <v>11</v>
      </c>
      <c r="C54" s="11">
        <v>73204.5</v>
      </c>
      <c r="D54" s="11">
        <v>6591883.5</v>
      </c>
      <c r="E54" s="6" cm="1">
        <f t="array" ref="E54">_xlfn.XLOOKUP(1,(Лист2!A$2:A$505=A54)*(Лист2!B$2:B$505=B54),Лист2!C$2:C$505)</f>
        <v>31</v>
      </c>
      <c r="F54" s="6" cm="1">
        <f t="array" ref="F54">_xlfn.XLOOKUP(1,(Лист2!A$2:A$505=A54)*(Лист2!B$2:B$505=B54),Лист2!D$2:D$505)</f>
        <v>4903</v>
      </c>
      <c r="G54" s="6" cm="1">
        <f t="array" ref="G54">_xlfn.XLOOKUP(1,(Лист2!A$2:A$505=A54)*(Лист2!B$2:B$505=B54),Лист2!E$2:E$505)</f>
        <v>4527</v>
      </c>
      <c r="H54">
        <f t="shared" si="0"/>
        <v>212641.403225806</v>
      </c>
      <c r="I54">
        <f t="shared" si="1"/>
        <v>19</v>
      </c>
    </row>
    <row r="55" ht="14.25" customHeight="1" spans="1:9">
      <c r="A55" s="12">
        <v>43975</v>
      </c>
      <c r="B55" s="13" t="s">
        <v>11</v>
      </c>
      <c r="C55" s="13">
        <v>76663.5</v>
      </c>
      <c r="D55" s="13">
        <v>6451032</v>
      </c>
      <c r="E55" s="6" cm="1">
        <f t="array" ref="E55">_xlfn.XLOOKUP(1,(Лист2!A$2:A$505=A55)*(Лист2!B$2:B$505=B55),Лист2!C$2:C$505)</f>
        <v>31</v>
      </c>
      <c r="F55" s="6" cm="1">
        <f t="array" ref="F55">_xlfn.XLOOKUP(1,(Лист2!A$2:A$505=A55)*(Лист2!B$2:B$505=B55),Лист2!D$2:D$505)</f>
        <v>5035</v>
      </c>
      <c r="G55" s="6" cm="1">
        <f t="array" ref="G55">_xlfn.XLOOKUP(1,(Лист2!A$2:A$505=A55)*(Лист2!B$2:B$505=B55),Лист2!E$2:E$505)</f>
        <v>4683</v>
      </c>
      <c r="H55">
        <f t="shared" si="0"/>
        <v>208097.806451613</v>
      </c>
      <c r="I55">
        <f t="shared" si="1"/>
        <v>21</v>
      </c>
    </row>
    <row r="56" ht="14.25" customHeight="1" spans="1:9">
      <c r="A56" s="10">
        <v>43967</v>
      </c>
      <c r="B56" s="11" t="s">
        <v>12</v>
      </c>
      <c r="C56" s="11">
        <v>14265</v>
      </c>
      <c r="D56" s="11">
        <v>1130506.5</v>
      </c>
      <c r="E56" s="6" cm="1">
        <f t="array" ref="E56">_xlfn.XLOOKUP(1,(Лист2!A$2:A$505=A56)*(Лист2!B$2:B$505=B56),Лист2!C$2:C$505)</f>
        <v>10</v>
      </c>
      <c r="F56" s="6" cm="1">
        <f t="array" ref="F56">_xlfn.XLOOKUP(1,(Лист2!A$2:A$505=A56)*(Лист2!B$2:B$505=B56),Лист2!D$2:D$505)</f>
        <v>760</v>
      </c>
      <c r="G56" s="6" cm="1">
        <f t="array" ref="G56">_xlfn.XLOOKUP(1,(Лист2!A$2:A$505=A56)*(Лист2!B$2:B$505=B56),Лист2!E$2:E$505)</f>
        <v>672</v>
      </c>
      <c r="H56">
        <f t="shared" si="0"/>
        <v>113050.65</v>
      </c>
      <c r="I56">
        <f t="shared" si="1"/>
        <v>20</v>
      </c>
    </row>
    <row r="57" ht="14.25" customHeight="1" spans="1:9">
      <c r="A57" s="12">
        <v>43970</v>
      </c>
      <c r="B57" s="13" t="s">
        <v>12</v>
      </c>
      <c r="C57" s="13">
        <v>11526</v>
      </c>
      <c r="D57" s="13">
        <v>938764.5</v>
      </c>
      <c r="E57" s="6" cm="1">
        <f t="array" ref="E57">_xlfn.XLOOKUP(1,(Лист2!A$2:A$505=A57)*(Лист2!B$2:B$505=B57),Лист2!C$2:C$505)</f>
        <v>10</v>
      </c>
      <c r="F57" s="6" cm="1">
        <f t="array" ref="F57">_xlfn.XLOOKUP(1,(Лист2!A$2:A$505=A57)*(Лист2!B$2:B$505=B57),Лист2!D$2:D$505)</f>
        <v>649</v>
      </c>
      <c r="G57" s="6" cm="1">
        <f t="array" ref="G57">_xlfn.XLOOKUP(1,(Лист2!A$2:A$505=A57)*(Лист2!B$2:B$505=B57),Лист2!E$2:E$505)</f>
        <v>568</v>
      </c>
      <c r="H57">
        <f t="shared" si="0"/>
        <v>93876.45</v>
      </c>
      <c r="I57">
        <f t="shared" si="1"/>
        <v>21</v>
      </c>
    </row>
    <row r="58" ht="14.25" customHeight="1" spans="1:9">
      <c r="A58" s="10">
        <v>43968</v>
      </c>
      <c r="B58" s="11" t="s">
        <v>12</v>
      </c>
      <c r="C58" s="11">
        <v>10402.5</v>
      </c>
      <c r="D58" s="11">
        <v>843727.5</v>
      </c>
      <c r="E58" s="6" cm="1">
        <f t="array" ref="E58">_xlfn.XLOOKUP(1,(Лист2!A$2:A$505=A58)*(Лист2!B$2:B$505=B58),Лист2!C$2:C$505)</f>
        <v>10</v>
      </c>
      <c r="F58" s="6" cm="1">
        <f t="array" ref="F58">_xlfn.XLOOKUP(1,(Лист2!A$2:A$505=A58)*(Лист2!B$2:B$505=B58),Лист2!D$2:D$505)</f>
        <v>591</v>
      </c>
      <c r="G58" s="6" cm="1">
        <f t="array" ref="G58">_xlfn.XLOOKUP(1,(Лист2!A$2:A$505=A58)*(Лист2!B$2:B$505=B58),Лист2!E$2:E$505)</f>
        <v>513</v>
      </c>
      <c r="H58">
        <f t="shared" si="0"/>
        <v>84372.75</v>
      </c>
      <c r="I58">
        <f t="shared" si="1"/>
        <v>20</v>
      </c>
    </row>
    <row r="59" ht="14.25" customHeight="1" spans="1:9">
      <c r="A59" s="12">
        <v>43960</v>
      </c>
      <c r="B59" s="13" t="s">
        <v>12</v>
      </c>
      <c r="C59" s="13">
        <v>13216.5</v>
      </c>
      <c r="D59" s="13">
        <v>1046400</v>
      </c>
      <c r="E59" s="6" cm="1">
        <f t="array" ref="E59">_xlfn.XLOOKUP(1,(Лист2!A$2:A$505=A59)*(Лист2!B$2:B$505=B59),Лист2!C$2:C$505)</f>
        <v>10</v>
      </c>
      <c r="F59" s="6" cm="1">
        <f t="array" ref="F59">_xlfn.XLOOKUP(1,(Лист2!A$2:A$505=A59)*(Лист2!B$2:B$505=B59),Лист2!D$2:D$505)</f>
        <v>644</v>
      </c>
      <c r="G59" s="6" cm="1">
        <f t="array" ref="G59">_xlfn.XLOOKUP(1,(Лист2!A$2:A$505=A59)*(Лист2!B$2:B$505=B59),Лист2!E$2:E$505)</f>
        <v>559</v>
      </c>
      <c r="H59">
        <f t="shared" si="0"/>
        <v>104640</v>
      </c>
      <c r="I59">
        <f t="shared" si="1"/>
        <v>19</v>
      </c>
    </row>
    <row r="60" ht="14.25" customHeight="1" spans="1:9">
      <c r="A60" s="10">
        <v>43955</v>
      </c>
      <c r="B60" s="11" t="s">
        <v>12</v>
      </c>
      <c r="C60" s="11">
        <v>9130.5</v>
      </c>
      <c r="D60" s="11">
        <v>728890.5</v>
      </c>
      <c r="E60" s="6" cm="1">
        <f t="array" ref="E60">_xlfn.XLOOKUP(1,(Лист2!A$2:A$505=A60)*(Лист2!B$2:B$505=B60),Лист2!C$2:C$505)</f>
        <v>10</v>
      </c>
      <c r="F60" s="6" cm="1">
        <f t="array" ref="F60">_xlfn.XLOOKUP(1,(Лист2!A$2:A$505=A60)*(Лист2!B$2:B$505=B60),Лист2!D$2:D$505)</f>
        <v>462</v>
      </c>
      <c r="G60" s="6" cm="1">
        <f t="array" ref="G60">_xlfn.XLOOKUP(1,(Лист2!A$2:A$505=A60)*(Лист2!B$2:B$505=B60),Лист2!E$2:E$505)</f>
        <v>396</v>
      </c>
      <c r="H60">
        <f t="shared" si="0"/>
        <v>72889.05</v>
      </c>
      <c r="I60">
        <f t="shared" si="1"/>
        <v>19</v>
      </c>
    </row>
    <row r="61" ht="14.25" customHeight="1" spans="1:9">
      <c r="A61" s="12">
        <v>43950</v>
      </c>
      <c r="B61" s="13" t="s">
        <v>12</v>
      </c>
      <c r="C61" s="13">
        <v>10840.5</v>
      </c>
      <c r="D61" s="13">
        <v>797919</v>
      </c>
      <c r="E61" s="6" cm="1">
        <f t="array" ref="E61">_xlfn.XLOOKUP(1,(Лист2!A$2:A$505=A61)*(Лист2!B$2:B$505=B61),Лист2!C$2:C$505)</f>
        <v>10</v>
      </c>
      <c r="F61" s="6" cm="1">
        <f t="array" ref="F61">_xlfn.XLOOKUP(1,(Лист2!A$2:A$505=A61)*(Лист2!B$2:B$505=B61),Лист2!D$2:D$505)</f>
        <v>502</v>
      </c>
      <c r="G61" s="6" cm="1">
        <f t="array" ref="G61">_xlfn.XLOOKUP(1,(Лист2!A$2:A$505=A61)*(Лист2!B$2:B$505=B61),Лист2!E$2:E$505)</f>
        <v>433</v>
      </c>
      <c r="H61">
        <f t="shared" si="0"/>
        <v>79791.9</v>
      </c>
      <c r="I61">
        <f t="shared" si="1"/>
        <v>18</v>
      </c>
    </row>
    <row r="62" ht="14.25" customHeight="1" spans="1:9">
      <c r="A62" s="10">
        <v>43953</v>
      </c>
      <c r="B62" s="11" t="s">
        <v>12</v>
      </c>
      <c r="C62" s="11">
        <v>7866</v>
      </c>
      <c r="D62" s="11">
        <v>617881.5</v>
      </c>
      <c r="E62" s="6" cm="1">
        <f t="array" ref="E62">_xlfn.XLOOKUP(1,(Лист2!A$2:A$505=A62)*(Лист2!B$2:B$505=B62),Лист2!C$2:C$505)</f>
        <v>10</v>
      </c>
      <c r="F62" s="6" cm="1">
        <f t="array" ref="F62">_xlfn.XLOOKUP(1,(Лист2!A$2:A$505=A62)*(Лист2!B$2:B$505=B62),Лист2!D$2:D$505)</f>
        <v>416</v>
      </c>
      <c r="G62" s="6" cm="1">
        <f t="array" ref="G62">_xlfn.XLOOKUP(1,(Лист2!A$2:A$505=A62)*(Лист2!B$2:B$505=B62),Лист2!E$2:E$505)</f>
        <v>341</v>
      </c>
      <c r="H62">
        <f t="shared" si="0"/>
        <v>61788.15</v>
      </c>
      <c r="I62">
        <f t="shared" si="1"/>
        <v>18</v>
      </c>
    </row>
    <row r="63" ht="14.25" customHeight="1" spans="1:9">
      <c r="A63" s="12">
        <v>43977</v>
      </c>
      <c r="B63" s="13" t="s">
        <v>12</v>
      </c>
      <c r="C63" s="13">
        <v>11835</v>
      </c>
      <c r="D63" s="13">
        <v>983109</v>
      </c>
      <c r="E63" s="6" cm="1">
        <f t="array" ref="E63">_xlfn.XLOOKUP(1,(Лист2!A$2:A$505=A63)*(Лист2!B$2:B$505=B63),Лист2!C$2:C$505)</f>
        <v>10</v>
      </c>
      <c r="F63" s="6" cm="1">
        <f t="array" ref="F63">_xlfn.XLOOKUP(1,(Лист2!A$2:A$505=A63)*(Лист2!B$2:B$505=B63),Лист2!D$2:D$505)</f>
        <v>692</v>
      </c>
      <c r="G63" s="6" cm="1">
        <f t="array" ref="G63">_xlfn.XLOOKUP(1,(Лист2!A$2:A$505=A63)*(Лист2!B$2:B$505=B63),Лист2!E$2:E$505)</f>
        <v>601</v>
      </c>
      <c r="H63">
        <f t="shared" si="0"/>
        <v>98310.9</v>
      </c>
      <c r="I63">
        <f t="shared" si="1"/>
        <v>22</v>
      </c>
    </row>
    <row r="64" ht="14.25" customHeight="1" spans="1:9">
      <c r="A64" s="10">
        <v>43952</v>
      </c>
      <c r="B64" s="11" t="s">
        <v>12</v>
      </c>
      <c r="C64" s="11">
        <v>11619</v>
      </c>
      <c r="D64" s="11">
        <v>891139.5</v>
      </c>
      <c r="E64" s="6" cm="1">
        <f t="array" ref="E64">_xlfn.XLOOKUP(1,(Лист2!A$2:A$505=A64)*(Лист2!B$2:B$505=B64),Лист2!C$2:C$505)</f>
        <v>10</v>
      </c>
      <c r="F64" s="6" cm="1">
        <f t="array" ref="F64">_xlfn.XLOOKUP(1,(Лист2!A$2:A$505=A64)*(Лист2!B$2:B$505=B64),Лист2!D$2:D$505)</f>
        <v>554</v>
      </c>
      <c r="G64" s="6" cm="1">
        <f t="array" ref="G64">_xlfn.XLOOKUP(1,(Лист2!A$2:A$505=A64)*(Лист2!B$2:B$505=B64),Лист2!E$2:E$505)</f>
        <v>472</v>
      </c>
      <c r="H64">
        <f t="shared" si="0"/>
        <v>89113.95</v>
      </c>
      <c r="I64">
        <f t="shared" si="1"/>
        <v>18</v>
      </c>
    </row>
    <row r="65" ht="14.25" customHeight="1" spans="1:9">
      <c r="A65" s="12">
        <v>43963</v>
      </c>
      <c r="B65" s="13" t="s">
        <v>12</v>
      </c>
      <c r="C65" s="13">
        <v>9328.5</v>
      </c>
      <c r="D65" s="13">
        <v>732964.5</v>
      </c>
      <c r="E65" s="6" cm="1">
        <f t="array" ref="E65">_xlfn.XLOOKUP(1,(Лист2!A$2:A$505=A65)*(Лист2!B$2:B$505=B65),Лист2!C$2:C$505)</f>
        <v>10</v>
      </c>
      <c r="F65" s="6" cm="1">
        <f t="array" ref="F65">_xlfn.XLOOKUP(1,(Лист2!A$2:A$505=A65)*(Лист2!B$2:B$505=B65),Лист2!D$2:D$505)</f>
        <v>526</v>
      </c>
      <c r="G65" s="6" cm="1">
        <f t="array" ref="G65">_xlfn.XLOOKUP(1,(Лист2!A$2:A$505=A65)*(Лист2!B$2:B$505=B65),Лист2!E$2:E$505)</f>
        <v>448</v>
      </c>
      <c r="H65">
        <f t="shared" si="0"/>
        <v>73296.45</v>
      </c>
      <c r="I65">
        <f t="shared" si="1"/>
        <v>20</v>
      </c>
    </row>
    <row r="66" ht="14.25" customHeight="1" spans="1:9">
      <c r="A66" s="10">
        <v>43972</v>
      </c>
      <c r="B66" s="11" t="s">
        <v>12</v>
      </c>
      <c r="C66" s="11">
        <v>11250</v>
      </c>
      <c r="D66" s="11">
        <v>935523</v>
      </c>
      <c r="E66" s="6" cm="1">
        <f t="array" ref="E66">_xlfn.XLOOKUP(1,(Лист2!A$2:A$505=A66)*(Лист2!B$2:B$505=B66),Лист2!C$2:C$505)</f>
        <v>10</v>
      </c>
      <c r="F66" s="6" cm="1">
        <f t="array" ref="F66">_xlfn.XLOOKUP(1,(Лист2!A$2:A$505=A66)*(Лист2!B$2:B$505=B66),Лист2!D$2:D$505)</f>
        <v>677</v>
      </c>
      <c r="G66" s="6" cm="1">
        <f t="array" ref="G66">_xlfn.XLOOKUP(1,(Лист2!A$2:A$505=A66)*(Лист2!B$2:B$505=B66),Лист2!E$2:E$505)</f>
        <v>591</v>
      </c>
      <c r="H66">
        <f t="shared" si="0"/>
        <v>93552.3</v>
      </c>
      <c r="I66">
        <f t="shared" si="1"/>
        <v>21</v>
      </c>
    </row>
    <row r="67" ht="14.25" customHeight="1" spans="1:9">
      <c r="A67" s="12">
        <v>43971</v>
      </c>
      <c r="B67" s="13" t="s">
        <v>12</v>
      </c>
      <c r="C67" s="13">
        <v>13063.5</v>
      </c>
      <c r="D67" s="13">
        <v>1037247</v>
      </c>
      <c r="E67" s="6" cm="1">
        <f t="array" ref="E67">_xlfn.XLOOKUP(1,(Лист2!A$2:A$505=A67)*(Лист2!B$2:B$505=B67),Лист2!C$2:C$505)</f>
        <v>10</v>
      </c>
      <c r="F67" s="6" cm="1">
        <f t="array" ref="F67">_xlfn.XLOOKUP(1,(Лист2!A$2:A$505=A67)*(Лист2!B$2:B$505=B67),Лист2!D$2:D$505)</f>
        <v>745</v>
      </c>
      <c r="G67" s="6" cm="1">
        <f t="array" ref="G67">_xlfn.XLOOKUP(1,(Лист2!A$2:A$505=A67)*(Лист2!B$2:B$505=B67),Лист2!E$2:E$505)</f>
        <v>654</v>
      </c>
      <c r="H67">
        <f t="shared" ref="H67:H130" si="2">D67/E67</f>
        <v>103724.7</v>
      </c>
      <c r="I67">
        <f t="shared" ref="I67:I130" si="3">WEEKNUM(A67,2)</f>
        <v>21</v>
      </c>
    </row>
    <row r="68" ht="14.25" customHeight="1" spans="1:9">
      <c r="A68" s="10">
        <v>43956</v>
      </c>
      <c r="B68" s="11" t="s">
        <v>12</v>
      </c>
      <c r="C68" s="11">
        <v>10147.5</v>
      </c>
      <c r="D68" s="11">
        <v>793320</v>
      </c>
      <c r="E68" s="6" cm="1">
        <f t="array" ref="E68">_xlfn.XLOOKUP(1,(Лист2!A$2:A$505=A68)*(Лист2!B$2:B$505=B68),Лист2!C$2:C$505)</f>
        <v>10</v>
      </c>
      <c r="F68" s="6" cm="1">
        <f t="array" ref="F68">_xlfn.XLOOKUP(1,(Лист2!A$2:A$505=A68)*(Лист2!B$2:B$505=B68),Лист2!D$2:D$505)</f>
        <v>511</v>
      </c>
      <c r="G68" s="6" cm="1">
        <f t="array" ref="G68">_xlfn.XLOOKUP(1,(Лист2!A$2:A$505=A68)*(Лист2!B$2:B$505=B68),Лист2!E$2:E$505)</f>
        <v>437</v>
      </c>
      <c r="H68">
        <f t="shared" si="2"/>
        <v>79332</v>
      </c>
      <c r="I68">
        <f t="shared" si="3"/>
        <v>19</v>
      </c>
    </row>
    <row r="69" ht="14.25" customHeight="1" spans="1:9">
      <c r="A69" s="12">
        <v>43949</v>
      </c>
      <c r="B69" s="13" t="s">
        <v>12</v>
      </c>
      <c r="C69" s="13">
        <v>12331.5</v>
      </c>
      <c r="D69" s="13">
        <v>869983.5</v>
      </c>
      <c r="E69" s="6" cm="1">
        <f t="array" ref="E69">_xlfn.XLOOKUP(1,(Лист2!A$2:A$505=A69)*(Лист2!B$2:B$505=B69),Лист2!C$2:C$505)</f>
        <v>10</v>
      </c>
      <c r="F69" s="6" cm="1">
        <f t="array" ref="F69">_xlfn.XLOOKUP(1,(Лист2!A$2:A$505=A69)*(Лист2!B$2:B$505=B69),Лист2!D$2:D$505)</f>
        <v>580</v>
      </c>
      <c r="G69" s="6" cm="1">
        <f t="array" ref="G69">_xlfn.XLOOKUP(1,(Лист2!A$2:A$505=A69)*(Лист2!B$2:B$505=B69),Лист2!E$2:E$505)</f>
        <v>506</v>
      </c>
      <c r="H69">
        <f t="shared" si="2"/>
        <v>86998.35</v>
      </c>
      <c r="I69">
        <f t="shared" si="3"/>
        <v>18</v>
      </c>
    </row>
    <row r="70" ht="14.25" customHeight="1" spans="1:9">
      <c r="A70" s="10">
        <v>43964</v>
      </c>
      <c r="B70" s="11" t="s">
        <v>12</v>
      </c>
      <c r="C70" s="11">
        <v>11202</v>
      </c>
      <c r="D70" s="11">
        <v>865714.5</v>
      </c>
      <c r="E70" s="6" cm="1">
        <f t="array" ref="E70">_xlfn.XLOOKUP(1,(Лист2!A$2:A$505=A70)*(Лист2!B$2:B$505=B70),Лист2!C$2:C$505)</f>
        <v>10</v>
      </c>
      <c r="F70" s="6" cm="1">
        <f t="array" ref="F70">_xlfn.XLOOKUP(1,(Лист2!A$2:A$505=A70)*(Лист2!B$2:B$505=B70),Лист2!D$2:D$505)</f>
        <v>612</v>
      </c>
      <c r="G70" s="6" cm="1">
        <f t="array" ref="G70">_xlfn.XLOOKUP(1,(Лист2!A$2:A$505=A70)*(Лист2!B$2:B$505=B70),Лист2!E$2:E$505)</f>
        <v>530</v>
      </c>
      <c r="H70">
        <f t="shared" si="2"/>
        <v>86571.45</v>
      </c>
      <c r="I70">
        <f t="shared" si="3"/>
        <v>20</v>
      </c>
    </row>
    <row r="71" ht="14.25" customHeight="1" spans="1:9">
      <c r="A71" s="12">
        <v>43982</v>
      </c>
      <c r="B71" s="13" t="s">
        <v>11</v>
      </c>
      <c r="C71" s="13">
        <v>89149.5</v>
      </c>
      <c r="D71" s="13">
        <v>7512646.5</v>
      </c>
      <c r="E71" s="6" cm="1">
        <f t="array" ref="E71">_xlfn.XLOOKUP(1,(Лист2!A$2:A$505=A71)*(Лист2!B$2:B$505=B71),Лист2!C$2:C$505)</f>
        <v>31</v>
      </c>
      <c r="F71" s="6" cm="1">
        <f t="array" ref="F71">_xlfn.XLOOKUP(1,(Лист2!A$2:A$505=A71)*(Лист2!B$2:B$505=B71),Лист2!D$2:D$505)</f>
        <v>5760</v>
      </c>
      <c r="G71" s="6" cm="1">
        <f t="array" ref="G71">_xlfn.XLOOKUP(1,(Лист2!A$2:A$505=A71)*(Лист2!B$2:B$505=B71),Лист2!E$2:E$505)</f>
        <v>5367</v>
      </c>
      <c r="H71">
        <f t="shared" si="2"/>
        <v>242343.435483871</v>
      </c>
      <c r="I71">
        <f t="shared" si="3"/>
        <v>22</v>
      </c>
    </row>
    <row r="72" ht="14.25" customHeight="1" spans="1:9">
      <c r="A72" s="10">
        <v>43954</v>
      </c>
      <c r="B72" s="11" t="s">
        <v>12</v>
      </c>
      <c r="C72" s="11">
        <v>8185.5</v>
      </c>
      <c r="D72" s="11">
        <v>637881</v>
      </c>
      <c r="E72" s="6" cm="1">
        <f t="array" ref="E72">_xlfn.XLOOKUP(1,(Лист2!A$2:A$505=A72)*(Лист2!B$2:B$505=B72),Лист2!C$2:C$505)</f>
        <v>10</v>
      </c>
      <c r="F72" s="6" cm="1">
        <f t="array" ref="F72">_xlfn.XLOOKUP(1,(Лист2!A$2:A$505=A72)*(Лист2!B$2:B$505=B72),Лист2!D$2:D$505)</f>
        <v>402</v>
      </c>
      <c r="G72" s="6" cm="1">
        <f t="array" ref="G72">_xlfn.XLOOKUP(1,(Лист2!A$2:A$505=A72)*(Лист2!B$2:B$505=B72),Лист2!E$2:E$505)</f>
        <v>333</v>
      </c>
      <c r="H72">
        <f t="shared" si="2"/>
        <v>63788.1</v>
      </c>
      <c r="I72">
        <f t="shared" si="3"/>
        <v>18</v>
      </c>
    </row>
    <row r="73" ht="14.25" customHeight="1" spans="1:9">
      <c r="A73" s="12">
        <v>43981</v>
      </c>
      <c r="B73" s="13" t="s">
        <v>11</v>
      </c>
      <c r="C73" s="13">
        <v>108123</v>
      </c>
      <c r="D73" s="13">
        <v>9164707.5</v>
      </c>
      <c r="E73" s="6" cm="1">
        <f t="array" ref="E73">_xlfn.XLOOKUP(1,(Лист2!A$2:A$505=A73)*(Лист2!B$2:B$505=B73),Лист2!C$2:C$505)</f>
        <v>31</v>
      </c>
      <c r="F73" s="6" cm="1">
        <f t="array" ref="F73">_xlfn.XLOOKUP(1,(Лист2!A$2:A$505=A73)*(Лист2!B$2:B$505=B73),Лист2!D$2:D$505)</f>
        <v>6735</v>
      </c>
      <c r="G73" s="6" cm="1">
        <f t="array" ref="G73">_xlfn.XLOOKUP(1,(Лист2!A$2:A$505=A73)*(Лист2!B$2:B$505=B73),Лист2!E$2:E$505)</f>
        <v>6264</v>
      </c>
      <c r="H73">
        <f t="shared" si="2"/>
        <v>295635.725806452</v>
      </c>
      <c r="I73">
        <f t="shared" si="3"/>
        <v>22</v>
      </c>
    </row>
    <row r="74" ht="14.25" customHeight="1" spans="1:9">
      <c r="A74" s="10">
        <v>43957</v>
      </c>
      <c r="B74" s="11" t="s">
        <v>12</v>
      </c>
      <c r="C74" s="11">
        <v>9210</v>
      </c>
      <c r="D74" s="11">
        <v>696832.5</v>
      </c>
      <c r="E74" s="6" cm="1">
        <f t="array" ref="E74">_xlfn.XLOOKUP(1,(Лист2!A$2:A$505=A74)*(Лист2!B$2:B$505=B74),Лист2!C$2:C$505)</f>
        <v>10</v>
      </c>
      <c r="F74" s="6" cm="1">
        <f t="array" ref="F74">_xlfn.XLOOKUP(1,(Лист2!A$2:A$505=A74)*(Лист2!B$2:B$505=B74),Лист2!D$2:D$505)</f>
        <v>465</v>
      </c>
      <c r="G74" s="6" cm="1">
        <f t="array" ref="G74">_xlfn.XLOOKUP(1,(Лист2!A$2:A$505=A74)*(Лист2!B$2:B$505=B74),Лист2!E$2:E$505)</f>
        <v>390</v>
      </c>
      <c r="H74">
        <f t="shared" si="2"/>
        <v>69683.25</v>
      </c>
      <c r="I74">
        <f t="shared" si="3"/>
        <v>19</v>
      </c>
    </row>
    <row r="75" ht="14.25" customHeight="1" spans="1:9">
      <c r="A75" s="12">
        <v>43974</v>
      </c>
      <c r="B75" s="13" t="s">
        <v>12</v>
      </c>
      <c r="C75" s="13">
        <v>14773.5</v>
      </c>
      <c r="D75" s="13">
        <v>1241383.5</v>
      </c>
      <c r="E75" s="6" cm="1">
        <f t="array" ref="E75">_xlfn.XLOOKUP(1,(Лист2!A$2:A$505=A75)*(Лист2!B$2:B$505=B75),Лист2!C$2:C$505)</f>
        <v>10</v>
      </c>
      <c r="F75" s="6" cm="1">
        <f t="array" ref="F75">_xlfn.XLOOKUP(1,(Лист2!A$2:A$505=A75)*(Лист2!B$2:B$505=B75),Лист2!D$2:D$505)</f>
        <v>828</v>
      </c>
      <c r="G75" s="6" cm="1">
        <f t="array" ref="G75">_xlfn.XLOOKUP(1,(Лист2!A$2:A$505=A75)*(Лист2!B$2:B$505=B75),Лист2!E$2:E$505)</f>
        <v>734</v>
      </c>
      <c r="H75">
        <f t="shared" si="2"/>
        <v>124138.35</v>
      </c>
      <c r="I75">
        <f t="shared" si="3"/>
        <v>21</v>
      </c>
    </row>
    <row r="76" ht="14.25" customHeight="1" spans="1:9">
      <c r="A76" s="10">
        <v>43979</v>
      </c>
      <c r="B76" s="11" t="s">
        <v>11</v>
      </c>
      <c r="C76" s="11">
        <v>78141</v>
      </c>
      <c r="D76" s="11">
        <v>6641569.5</v>
      </c>
      <c r="E76" s="6" cm="1">
        <f t="array" ref="E76">_xlfn.XLOOKUP(1,(Лист2!A$2:A$505=A76)*(Лист2!B$2:B$505=B76),Лист2!C$2:C$505)</f>
        <v>31</v>
      </c>
      <c r="F76" s="6" cm="1">
        <f t="array" ref="F76">_xlfn.XLOOKUP(1,(Лист2!A$2:A$505=A76)*(Лист2!B$2:B$505=B76),Лист2!D$2:D$505)</f>
        <v>5355</v>
      </c>
      <c r="G76" s="6" cm="1">
        <f t="array" ref="G76">_xlfn.XLOOKUP(1,(Лист2!A$2:A$505=A76)*(Лист2!B$2:B$505=B76),Лист2!E$2:E$505)</f>
        <v>4969</v>
      </c>
      <c r="H76">
        <f t="shared" si="2"/>
        <v>214244.177419355</v>
      </c>
      <c r="I76">
        <f t="shared" si="3"/>
        <v>22</v>
      </c>
    </row>
    <row r="77" ht="14.25" customHeight="1" spans="1:9">
      <c r="A77" s="12">
        <v>43976</v>
      </c>
      <c r="B77" s="13" t="s">
        <v>12</v>
      </c>
      <c r="C77" s="13">
        <v>12280.5</v>
      </c>
      <c r="D77" s="13">
        <v>1030440</v>
      </c>
      <c r="E77" s="6" cm="1">
        <f t="array" ref="E77">_xlfn.XLOOKUP(1,(Лист2!A$2:A$505=A77)*(Лист2!B$2:B$505=B77),Лист2!C$2:C$505)</f>
        <v>10</v>
      </c>
      <c r="F77" s="6" cm="1">
        <f t="array" ref="F77">_xlfn.XLOOKUP(1,(Лист2!A$2:A$505=A77)*(Лист2!B$2:B$505=B77),Лист2!D$2:D$505)</f>
        <v>739</v>
      </c>
      <c r="G77" s="6" cm="1">
        <f t="array" ref="G77">_xlfn.XLOOKUP(1,(Лист2!A$2:A$505=A77)*(Лист2!B$2:B$505=B77),Лист2!E$2:E$505)</f>
        <v>642</v>
      </c>
      <c r="H77">
        <f t="shared" si="2"/>
        <v>103044</v>
      </c>
      <c r="I77">
        <f t="shared" si="3"/>
        <v>22</v>
      </c>
    </row>
    <row r="78" ht="14.25" customHeight="1" spans="1:9">
      <c r="A78" s="10">
        <v>43951</v>
      </c>
      <c r="B78" s="11" t="s">
        <v>12</v>
      </c>
      <c r="C78" s="11">
        <v>8934</v>
      </c>
      <c r="D78" s="11">
        <v>716196</v>
      </c>
      <c r="E78" s="6" cm="1">
        <f t="array" ref="E78">_xlfn.XLOOKUP(1,(Лист2!A$2:A$505=A78)*(Лист2!B$2:B$505=B78),Лист2!C$2:C$505)</f>
        <v>10</v>
      </c>
      <c r="F78" s="6" cm="1">
        <f t="array" ref="F78">_xlfn.XLOOKUP(1,(Лист2!A$2:A$505=A78)*(Лист2!B$2:B$505=B78),Лист2!D$2:D$505)</f>
        <v>448</v>
      </c>
      <c r="G78" s="6" cm="1">
        <f t="array" ref="G78">_xlfn.XLOOKUP(1,(Лист2!A$2:A$505=A78)*(Лист2!B$2:B$505=B78),Лист2!E$2:E$505)</f>
        <v>376</v>
      </c>
      <c r="H78">
        <f t="shared" si="2"/>
        <v>71619.6</v>
      </c>
      <c r="I78">
        <f t="shared" si="3"/>
        <v>18</v>
      </c>
    </row>
    <row r="79" ht="14.25" customHeight="1" spans="1:9">
      <c r="A79" s="12">
        <v>43961</v>
      </c>
      <c r="B79" s="13" t="s">
        <v>12</v>
      </c>
      <c r="C79" s="13">
        <v>12918</v>
      </c>
      <c r="D79" s="13">
        <v>1004788.5</v>
      </c>
      <c r="E79" s="6" cm="1">
        <f t="array" ref="E79">_xlfn.XLOOKUP(1,(Лист2!A$2:A$505=A79)*(Лист2!B$2:B$505=B79),Лист2!C$2:C$505)</f>
        <v>10</v>
      </c>
      <c r="F79" s="6" cm="1">
        <f t="array" ref="F79">_xlfn.XLOOKUP(1,(Лист2!A$2:A$505=A79)*(Лист2!B$2:B$505=B79),Лист2!D$2:D$505)</f>
        <v>642</v>
      </c>
      <c r="G79" s="6" cm="1">
        <f t="array" ref="G79">_xlfn.XLOOKUP(1,(Лист2!A$2:A$505=A79)*(Лист2!B$2:B$505=B79),Лист2!E$2:E$505)</f>
        <v>556</v>
      </c>
      <c r="H79">
        <f t="shared" si="2"/>
        <v>100478.85</v>
      </c>
      <c r="I79">
        <f t="shared" si="3"/>
        <v>19</v>
      </c>
    </row>
    <row r="80" ht="14.25" customHeight="1" spans="1:9">
      <c r="A80" s="10">
        <v>43959</v>
      </c>
      <c r="B80" s="11" t="s">
        <v>12</v>
      </c>
      <c r="C80" s="11">
        <v>12528</v>
      </c>
      <c r="D80" s="11">
        <v>959703</v>
      </c>
      <c r="E80" s="6" cm="1">
        <f t="array" ref="E80">_xlfn.XLOOKUP(1,(Лист2!A$2:A$505=A80)*(Лист2!B$2:B$505=B80),Лист2!C$2:C$505)</f>
        <v>10</v>
      </c>
      <c r="F80" s="6" cm="1">
        <f t="array" ref="F80">_xlfn.XLOOKUP(1,(Лист2!A$2:A$505=A80)*(Лист2!B$2:B$505=B80),Лист2!D$2:D$505)</f>
        <v>638</v>
      </c>
      <c r="G80" s="6" cm="1">
        <f t="array" ref="G80">_xlfn.XLOOKUP(1,(Лист2!A$2:A$505=A80)*(Лист2!B$2:B$505=B80),Лист2!E$2:E$505)</f>
        <v>547</v>
      </c>
      <c r="H80">
        <f t="shared" si="2"/>
        <v>95970.3</v>
      </c>
      <c r="I80">
        <f t="shared" si="3"/>
        <v>19</v>
      </c>
    </row>
    <row r="81" ht="14.25" customHeight="1" spans="1:9">
      <c r="A81" s="12">
        <v>43958</v>
      </c>
      <c r="B81" s="13" t="s">
        <v>12</v>
      </c>
      <c r="C81" s="13">
        <v>11029.5</v>
      </c>
      <c r="D81" s="13">
        <v>863754</v>
      </c>
      <c r="E81" s="6" cm="1">
        <f t="array" ref="E81">_xlfn.XLOOKUP(1,(Лист2!A$2:A$505=A81)*(Лист2!B$2:B$505=B81),Лист2!C$2:C$505)</f>
        <v>10</v>
      </c>
      <c r="F81" s="6" cm="1">
        <f t="array" ref="F81">_xlfn.XLOOKUP(1,(Лист2!A$2:A$505=A81)*(Лист2!B$2:B$505=B81),Лист2!D$2:D$505)</f>
        <v>563</v>
      </c>
      <c r="G81" s="6" cm="1">
        <f t="array" ref="G81">_xlfn.XLOOKUP(1,(Лист2!A$2:A$505=A81)*(Лист2!B$2:B$505=B81),Лист2!E$2:E$505)</f>
        <v>486</v>
      </c>
      <c r="H81">
        <f t="shared" si="2"/>
        <v>86375.4</v>
      </c>
      <c r="I81">
        <f t="shared" si="3"/>
        <v>19</v>
      </c>
    </row>
    <row r="82" ht="14.25" customHeight="1" spans="1:9">
      <c r="A82" s="10">
        <v>43975</v>
      </c>
      <c r="B82" s="11" t="s">
        <v>12</v>
      </c>
      <c r="C82" s="11">
        <v>9994.5</v>
      </c>
      <c r="D82" s="11">
        <v>828984</v>
      </c>
      <c r="E82" s="6" cm="1">
        <f t="array" ref="E82">_xlfn.XLOOKUP(1,(Лист2!A$2:A$505=A82)*(Лист2!B$2:B$505=B82),Лист2!C$2:C$505)</f>
        <v>10</v>
      </c>
      <c r="F82" s="6" cm="1">
        <f t="array" ref="F82">_xlfn.XLOOKUP(1,(Лист2!A$2:A$505=A82)*(Лист2!B$2:B$505=B82),Лист2!D$2:D$505)</f>
        <v>639</v>
      </c>
      <c r="G82" s="6" cm="1">
        <f t="array" ref="G82">_xlfn.XLOOKUP(1,(Лист2!A$2:A$505=A82)*(Лист2!B$2:B$505=B82),Лист2!E$2:E$505)</f>
        <v>557</v>
      </c>
      <c r="H82">
        <f t="shared" si="2"/>
        <v>82898.4</v>
      </c>
      <c r="I82">
        <f t="shared" si="3"/>
        <v>21</v>
      </c>
    </row>
    <row r="83" ht="14.25" customHeight="1" spans="1:9">
      <c r="A83" s="12">
        <v>43982</v>
      </c>
      <c r="B83" s="13" t="s">
        <v>12</v>
      </c>
      <c r="C83" s="13">
        <v>12724.5</v>
      </c>
      <c r="D83" s="13">
        <v>1045515</v>
      </c>
      <c r="E83" s="6" cm="1">
        <f t="array" ref="E83">_xlfn.XLOOKUP(1,(Лист2!A$2:A$505=A83)*(Лист2!B$2:B$505=B83),Лист2!C$2:C$505)</f>
        <v>10</v>
      </c>
      <c r="F83" s="6" cm="1">
        <f t="array" ref="F83">_xlfn.XLOOKUP(1,(Лист2!A$2:A$505=A83)*(Лист2!B$2:B$505=B83),Лист2!D$2:D$505)</f>
        <v>749</v>
      </c>
      <c r="G83" s="6" cm="1">
        <f t="array" ref="G83">_xlfn.XLOOKUP(1,(Лист2!A$2:A$505=A83)*(Лист2!B$2:B$505=B83),Лист2!E$2:E$505)</f>
        <v>655</v>
      </c>
      <c r="H83">
        <f t="shared" si="2"/>
        <v>104551.5</v>
      </c>
      <c r="I83">
        <f t="shared" si="3"/>
        <v>22</v>
      </c>
    </row>
    <row r="84" ht="14.25" customHeight="1" spans="1:9">
      <c r="A84" s="10">
        <v>43981</v>
      </c>
      <c r="B84" s="11" t="s">
        <v>12</v>
      </c>
      <c r="C84" s="11">
        <v>14728.5</v>
      </c>
      <c r="D84" s="11">
        <v>1260483</v>
      </c>
      <c r="E84" s="6" cm="1">
        <f t="array" ref="E84">_xlfn.XLOOKUP(1,(Лист2!A$2:A$505=A84)*(Лист2!B$2:B$505=B84),Лист2!C$2:C$505)</f>
        <v>10</v>
      </c>
      <c r="F84" s="6" cm="1">
        <f t="array" ref="F84">_xlfn.XLOOKUP(1,(Лист2!A$2:A$505=A84)*(Лист2!B$2:B$505=B84),Лист2!D$2:D$505)</f>
        <v>865</v>
      </c>
      <c r="G84" s="6" cm="1">
        <f t="array" ref="G84">_xlfn.XLOOKUP(1,(Лист2!A$2:A$505=A84)*(Лист2!B$2:B$505=B84),Лист2!E$2:E$505)</f>
        <v>763</v>
      </c>
      <c r="H84">
        <f t="shared" si="2"/>
        <v>126048.3</v>
      </c>
      <c r="I84">
        <f t="shared" si="3"/>
        <v>22</v>
      </c>
    </row>
    <row r="85" ht="14.25" customHeight="1" spans="1:9">
      <c r="A85" s="12">
        <v>43979</v>
      </c>
      <c r="B85" s="13" t="s">
        <v>12</v>
      </c>
      <c r="C85" s="13">
        <v>13038</v>
      </c>
      <c r="D85" s="13">
        <v>1114552.5</v>
      </c>
      <c r="E85" s="6" cm="1">
        <f t="array" ref="E85">_xlfn.XLOOKUP(1,(Лист2!A$2:A$505=A85)*(Лист2!B$2:B$505=B85),Лист2!C$2:C$505)</f>
        <v>10</v>
      </c>
      <c r="F85" s="6" cm="1">
        <f t="array" ref="F85">_xlfn.XLOOKUP(1,(Лист2!A$2:A$505=A85)*(Лист2!B$2:B$505=B85),Лист2!D$2:D$505)</f>
        <v>791</v>
      </c>
      <c r="G85" s="6" cm="1">
        <f t="array" ref="G85">_xlfn.XLOOKUP(1,(Лист2!A$2:A$505=A85)*(Лист2!B$2:B$505=B85),Лист2!E$2:E$505)</f>
        <v>697</v>
      </c>
      <c r="H85">
        <f t="shared" si="2"/>
        <v>111455.25</v>
      </c>
      <c r="I85">
        <f t="shared" si="3"/>
        <v>22</v>
      </c>
    </row>
    <row r="86" ht="14.25" customHeight="1" spans="1:9">
      <c r="A86" s="10">
        <v>43967</v>
      </c>
      <c r="B86" s="11" t="s">
        <v>13</v>
      </c>
      <c r="C86" s="11">
        <v>35482.5</v>
      </c>
      <c r="D86" s="11">
        <v>3222517.5</v>
      </c>
      <c r="E86" s="6" cm="1">
        <f t="array" ref="E86">_xlfn.XLOOKUP(1,(Лист2!A$2:A$505=A86)*(Лист2!B$2:B$505=B86),Лист2!C$2:C$505)</f>
        <v>19</v>
      </c>
      <c r="F86" s="6" cm="1">
        <f t="array" ref="F86">_xlfn.XLOOKUP(1,(Лист2!A$2:A$505=A86)*(Лист2!B$2:B$505=B86),Лист2!D$2:D$505)</f>
        <v>2080</v>
      </c>
      <c r="G86" s="6" cm="1">
        <f t="array" ref="G86">_xlfn.XLOOKUP(1,(Лист2!A$2:A$505=A86)*(Лист2!B$2:B$505=B86),Лист2!E$2:E$505)</f>
        <v>1844</v>
      </c>
      <c r="H86">
        <f t="shared" si="2"/>
        <v>169606.184210526</v>
      </c>
      <c r="I86">
        <f t="shared" si="3"/>
        <v>20</v>
      </c>
    </row>
    <row r="87" ht="14.25" customHeight="1" spans="1:9">
      <c r="A87" s="12">
        <v>43970</v>
      </c>
      <c r="B87" s="13" t="s">
        <v>13</v>
      </c>
      <c r="C87" s="13">
        <v>32434.5</v>
      </c>
      <c r="D87" s="13">
        <v>2865337.5</v>
      </c>
      <c r="E87" s="6" cm="1">
        <f t="array" ref="E87">_xlfn.XLOOKUP(1,(Лист2!A$2:A$505=A87)*(Лист2!B$2:B$505=B87),Лист2!C$2:C$505)</f>
        <v>19</v>
      </c>
      <c r="F87" s="6" cm="1">
        <f t="array" ref="F87">_xlfn.XLOOKUP(1,(Лист2!A$2:A$505=A87)*(Лист2!B$2:B$505=B87),Лист2!D$2:D$505)</f>
        <v>1999</v>
      </c>
      <c r="G87" s="6" cm="1">
        <f t="array" ref="G87">_xlfn.XLOOKUP(1,(Лист2!A$2:A$505=A87)*(Лист2!B$2:B$505=B87),Лист2!E$2:E$505)</f>
        <v>1799</v>
      </c>
      <c r="H87">
        <f t="shared" si="2"/>
        <v>150807.236842105</v>
      </c>
      <c r="I87">
        <f t="shared" si="3"/>
        <v>21</v>
      </c>
    </row>
    <row r="88" ht="14.25" customHeight="1" spans="1:9">
      <c r="A88" s="10">
        <v>43968</v>
      </c>
      <c r="B88" s="11" t="s">
        <v>13</v>
      </c>
      <c r="C88" s="11">
        <v>30486</v>
      </c>
      <c r="D88" s="11">
        <v>2694289.5</v>
      </c>
      <c r="E88" s="6" cm="1">
        <f t="array" ref="E88">_xlfn.XLOOKUP(1,(Лист2!A$2:A$505=A88)*(Лист2!B$2:B$505=B88),Лист2!C$2:C$505)</f>
        <v>19</v>
      </c>
      <c r="F88" s="6" cm="1">
        <f t="array" ref="F88">_xlfn.XLOOKUP(1,(Лист2!A$2:A$505=A88)*(Лист2!B$2:B$505=B88),Лист2!D$2:D$505)</f>
        <v>1871</v>
      </c>
      <c r="G88" s="6" cm="1">
        <f t="array" ref="G88">_xlfn.XLOOKUP(1,(Лист2!A$2:A$505=A88)*(Лист2!B$2:B$505=B88),Лист2!E$2:E$505)</f>
        <v>1660</v>
      </c>
      <c r="H88">
        <f t="shared" si="2"/>
        <v>141804.710526316</v>
      </c>
      <c r="I88">
        <f t="shared" si="3"/>
        <v>20</v>
      </c>
    </row>
    <row r="89" ht="14.25" customHeight="1" spans="1:9">
      <c r="A89" s="12">
        <v>43960</v>
      </c>
      <c r="B89" s="13" t="s">
        <v>13</v>
      </c>
      <c r="C89" s="13">
        <v>32079</v>
      </c>
      <c r="D89" s="13">
        <v>2902167</v>
      </c>
      <c r="E89" s="6" cm="1">
        <f t="array" ref="E89">_xlfn.XLOOKUP(1,(Лист2!A$2:A$505=A89)*(Лист2!B$2:B$505=B89),Лист2!C$2:C$505)</f>
        <v>19</v>
      </c>
      <c r="F89" s="6" cm="1">
        <f t="array" ref="F89">_xlfn.XLOOKUP(1,(Лист2!A$2:A$505=A89)*(Лист2!B$2:B$505=B89),Лист2!D$2:D$505)</f>
        <v>1851</v>
      </c>
      <c r="G89" s="6" cm="1">
        <f t="array" ref="G89">_xlfn.XLOOKUP(1,(Лист2!A$2:A$505=A89)*(Лист2!B$2:B$505=B89),Лист2!E$2:E$505)</f>
        <v>1635</v>
      </c>
      <c r="H89">
        <f t="shared" si="2"/>
        <v>152745.631578947</v>
      </c>
      <c r="I89">
        <f t="shared" si="3"/>
        <v>19</v>
      </c>
    </row>
    <row r="90" ht="14.25" customHeight="1" spans="1:9">
      <c r="A90" s="10">
        <v>43955</v>
      </c>
      <c r="B90" s="11" t="s">
        <v>13</v>
      </c>
      <c r="C90" s="11">
        <v>27072</v>
      </c>
      <c r="D90" s="11">
        <v>2450968.5</v>
      </c>
      <c r="E90" s="6" cm="1">
        <f t="array" ref="E90">_xlfn.XLOOKUP(1,(Лист2!A$2:A$505=A90)*(Лист2!B$2:B$505=B90),Лист2!C$2:C$505)</f>
        <v>19</v>
      </c>
      <c r="F90" s="6" cm="1">
        <f t="array" ref="F90">_xlfn.XLOOKUP(1,(Лист2!A$2:A$505=A90)*(Лист2!B$2:B$505=B90),Лист2!D$2:D$505)</f>
        <v>1582</v>
      </c>
      <c r="G90" s="6" cm="1">
        <f t="array" ref="G90">_xlfn.XLOOKUP(1,(Лист2!A$2:A$505=A90)*(Лист2!B$2:B$505=B90),Лист2!E$2:E$505)</f>
        <v>1403</v>
      </c>
      <c r="H90">
        <f t="shared" si="2"/>
        <v>128998.342105263</v>
      </c>
      <c r="I90">
        <f t="shared" si="3"/>
        <v>19</v>
      </c>
    </row>
    <row r="91" ht="14.25" customHeight="1" spans="1:9">
      <c r="A91" s="12">
        <v>43950</v>
      </c>
      <c r="B91" s="13" t="s">
        <v>13</v>
      </c>
      <c r="C91" s="13">
        <v>25917</v>
      </c>
      <c r="D91" s="13">
        <v>2397588</v>
      </c>
      <c r="E91" s="6" cm="1">
        <f t="array" ref="E91">_xlfn.XLOOKUP(1,(Лист2!A$2:A$505=A91)*(Лист2!B$2:B$505=B91),Лист2!C$2:C$505)</f>
        <v>18</v>
      </c>
      <c r="F91" s="6" cm="1">
        <f t="array" ref="F91">_xlfn.XLOOKUP(1,(Лист2!A$2:A$505=A91)*(Лист2!B$2:B$505=B91),Лист2!D$2:D$505)</f>
        <v>1534</v>
      </c>
      <c r="G91" s="6" cm="1">
        <f t="array" ref="G91">_xlfn.XLOOKUP(1,(Лист2!A$2:A$505=A91)*(Лист2!B$2:B$505=B91),Лист2!E$2:E$505)</f>
        <v>1369</v>
      </c>
      <c r="H91">
        <f t="shared" si="2"/>
        <v>133199.333333333</v>
      </c>
      <c r="I91">
        <f t="shared" si="3"/>
        <v>18</v>
      </c>
    </row>
    <row r="92" ht="14.25" customHeight="1" spans="1:9">
      <c r="A92" s="10">
        <v>43953</v>
      </c>
      <c r="B92" s="11" t="s">
        <v>13</v>
      </c>
      <c r="C92" s="11">
        <v>19461</v>
      </c>
      <c r="D92" s="11">
        <v>1799230.5</v>
      </c>
      <c r="E92" s="6" cm="1">
        <f t="array" ref="E92">_xlfn.XLOOKUP(1,(Лист2!A$2:A$505=A92)*(Лист2!B$2:B$505=B92),Лист2!C$2:C$505)</f>
        <v>19</v>
      </c>
      <c r="F92" s="6" cm="1">
        <f t="array" ref="F92">_xlfn.XLOOKUP(1,(Лист2!A$2:A$505=A92)*(Лист2!B$2:B$505=B92),Лист2!D$2:D$505)</f>
        <v>1217</v>
      </c>
      <c r="G92" s="6" cm="1">
        <f t="array" ref="G92">_xlfn.XLOOKUP(1,(Лист2!A$2:A$505=A92)*(Лист2!B$2:B$505=B92),Лист2!E$2:E$505)</f>
        <v>1048</v>
      </c>
      <c r="H92">
        <f t="shared" si="2"/>
        <v>94696.3421052632</v>
      </c>
      <c r="I92">
        <f t="shared" si="3"/>
        <v>18</v>
      </c>
    </row>
    <row r="93" ht="14.25" customHeight="1" spans="1:9">
      <c r="A93" s="12">
        <v>43977</v>
      </c>
      <c r="B93" s="13" t="s">
        <v>13</v>
      </c>
      <c r="C93" s="13">
        <v>31407</v>
      </c>
      <c r="D93" s="13">
        <v>2907411</v>
      </c>
      <c r="E93" s="6" cm="1">
        <f t="array" ref="E93">_xlfn.XLOOKUP(1,(Лист2!A$2:A$505=A93)*(Лист2!B$2:B$505=B93),Лист2!C$2:C$505)</f>
        <v>20</v>
      </c>
      <c r="F93" s="6" cm="1">
        <f t="array" ref="F93">_xlfn.XLOOKUP(1,(Лист2!A$2:A$505=A93)*(Лист2!B$2:B$505=B93),Лист2!D$2:D$505)</f>
        <v>2036</v>
      </c>
      <c r="G93" s="6" cm="1">
        <f t="array" ref="G93">_xlfn.XLOOKUP(1,(Лист2!A$2:A$505=A93)*(Лист2!B$2:B$505=B93),Лист2!E$2:E$505)</f>
        <v>1790</v>
      </c>
      <c r="H93">
        <f t="shared" si="2"/>
        <v>145370.55</v>
      </c>
      <c r="I93">
        <f t="shared" si="3"/>
        <v>22</v>
      </c>
    </row>
    <row r="94" ht="14.25" customHeight="1" spans="1:9">
      <c r="A94" s="10">
        <v>43952</v>
      </c>
      <c r="B94" s="11" t="s">
        <v>13</v>
      </c>
      <c r="C94" s="11">
        <v>25792.5</v>
      </c>
      <c r="D94" s="11">
        <v>2374356</v>
      </c>
      <c r="E94" s="6" cm="1">
        <f t="array" ref="E94">_xlfn.XLOOKUP(1,(Лист2!A$2:A$505=A94)*(Лист2!B$2:B$505=B94),Лист2!C$2:C$505)</f>
        <v>19</v>
      </c>
      <c r="F94" s="6" cm="1">
        <f t="array" ref="F94">_xlfn.XLOOKUP(1,(Лист2!A$2:A$505=A94)*(Лист2!B$2:B$505=B94),Лист2!D$2:D$505)</f>
        <v>1497</v>
      </c>
      <c r="G94" s="6" cm="1">
        <f t="array" ref="G94">_xlfn.XLOOKUP(1,(Лист2!A$2:A$505=A94)*(Лист2!B$2:B$505=B94),Лист2!E$2:E$505)</f>
        <v>1291</v>
      </c>
      <c r="H94">
        <f t="shared" si="2"/>
        <v>124966.105263158</v>
      </c>
      <c r="I94">
        <f t="shared" si="3"/>
        <v>18</v>
      </c>
    </row>
    <row r="95" ht="14.25" customHeight="1" spans="1:9">
      <c r="A95" s="12">
        <v>43963</v>
      </c>
      <c r="B95" s="13" t="s">
        <v>13</v>
      </c>
      <c r="C95" s="13">
        <v>26032.5</v>
      </c>
      <c r="D95" s="13">
        <v>2370432</v>
      </c>
      <c r="E95" s="6" cm="1">
        <f t="array" ref="E95">_xlfn.XLOOKUP(1,(Лист2!A$2:A$505=A95)*(Лист2!B$2:B$505=B95),Лист2!C$2:C$505)</f>
        <v>19</v>
      </c>
      <c r="F95" s="6" cm="1">
        <f t="array" ref="F95">_xlfn.XLOOKUP(1,(Лист2!A$2:A$505=A95)*(Лист2!B$2:B$505=B95),Лист2!D$2:D$505)</f>
        <v>1649</v>
      </c>
      <c r="G95" s="6" cm="1">
        <f t="array" ref="G95">_xlfn.XLOOKUP(1,(Лист2!A$2:A$505=A95)*(Лист2!B$2:B$505=B95),Лист2!E$2:E$505)</f>
        <v>1460</v>
      </c>
      <c r="H95">
        <f t="shared" si="2"/>
        <v>124759.578947368</v>
      </c>
      <c r="I95">
        <f t="shared" si="3"/>
        <v>20</v>
      </c>
    </row>
    <row r="96" ht="14.25" customHeight="1" spans="1:9">
      <c r="A96" s="10">
        <v>43972</v>
      </c>
      <c r="B96" s="11" t="s">
        <v>13</v>
      </c>
      <c r="C96" s="11">
        <v>31707</v>
      </c>
      <c r="D96" s="11">
        <v>2853181.5</v>
      </c>
      <c r="E96" s="6" cm="1">
        <f t="array" ref="E96">_xlfn.XLOOKUP(1,(Лист2!A$2:A$505=A96)*(Лист2!B$2:B$505=B96),Лист2!C$2:C$505)</f>
        <v>19</v>
      </c>
      <c r="F96" s="6" cm="1">
        <f t="array" ref="F96">_xlfn.XLOOKUP(1,(Лист2!A$2:A$505=A96)*(Лист2!B$2:B$505=B96),Лист2!D$2:D$505)</f>
        <v>1949</v>
      </c>
      <c r="G96" s="6" cm="1">
        <f t="array" ref="G96">_xlfn.XLOOKUP(1,(Лист2!A$2:A$505=A96)*(Лист2!B$2:B$505=B96),Лист2!E$2:E$505)</f>
        <v>1724</v>
      </c>
      <c r="H96">
        <f t="shared" si="2"/>
        <v>150167.447368421</v>
      </c>
      <c r="I96">
        <f t="shared" si="3"/>
        <v>21</v>
      </c>
    </row>
    <row r="97" ht="14.25" customHeight="1" spans="1:9">
      <c r="A97" s="12">
        <v>43971</v>
      </c>
      <c r="B97" s="13" t="s">
        <v>13</v>
      </c>
      <c r="C97" s="13">
        <v>29955</v>
      </c>
      <c r="D97" s="13">
        <v>2692230</v>
      </c>
      <c r="E97" s="6" cm="1">
        <f t="array" ref="E97">_xlfn.XLOOKUP(1,(Лист2!A$2:A$505=A97)*(Лист2!B$2:B$505=B97),Лист2!C$2:C$505)</f>
        <v>19</v>
      </c>
      <c r="F97" s="6" cm="1">
        <f t="array" ref="F97">_xlfn.XLOOKUP(1,(Лист2!A$2:A$505=A97)*(Лист2!B$2:B$505=B97),Лист2!D$2:D$505)</f>
        <v>1889</v>
      </c>
      <c r="G97" s="6" cm="1">
        <f t="array" ref="G97">_xlfn.XLOOKUP(1,(Лист2!A$2:A$505=A97)*(Лист2!B$2:B$505=B97),Лист2!E$2:E$505)</f>
        <v>1690</v>
      </c>
      <c r="H97">
        <f t="shared" si="2"/>
        <v>141696.315789474</v>
      </c>
      <c r="I97">
        <f t="shared" si="3"/>
        <v>21</v>
      </c>
    </row>
    <row r="98" ht="14.25" customHeight="1" spans="1:9">
      <c r="A98" s="10">
        <v>43956</v>
      </c>
      <c r="B98" s="11" t="s">
        <v>13</v>
      </c>
      <c r="C98" s="11">
        <v>22848</v>
      </c>
      <c r="D98" s="11">
        <v>2079900</v>
      </c>
      <c r="E98" s="6" cm="1">
        <f t="array" ref="E98">_xlfn.XLOOKUP(1,(Лист2!A$2:A$505=A98)*(Лист2!B$2:B$505=B98),Лист2!C$2:C$505)</f>
        <v>19</v>
      </c>
      <c r="F98" s="6" cm="1">
        <f t="array" ref="F98">_xlfn.XLOOKUP(1,(Лист2!A$2:A$505=A98)*(Лист2!B$2:B$505=B98),Лист2!D$2:D$505)</f>
        <v>1417</v>
      </c>
      <c r="G98" s="6" cm="1">
        <f t="array" ref="G98">_xlfn.XLOOKUP(1,(Лист2!A$2:A$505=A98)*(Лист2!B$2:B$505=B98),Лист2!E$2:E$505)</f>
        <v>1245</v>
      </c>
      <c r="H98">
        <f t="shared" si="2"/>
        <v>109468.421052632</v>
      </c>
      <c r="I98">
        <f t="shared" si="3"/>
        <v>19</v>
      </c>
    </row>
    <row r="99" ht="14.25" customHeight="1" spans="1:9">
      <c r="A99" s="12">
        <v>43949</v>
      </c>
      <c r="B99" s="13" t="s">
        <v>13</v>
      </c>
      <c r="C99" s="13">
        <v>23314.5</v>
      </c>
      <c r="D99" s="13">
        <v>2136817.5</v>
      </c>
      <c r="E99" s="6" cm="1">
        <f t="array" ref="E99">_xlfn.XLOOKUP(1,(Лист2!A$2:A$505=A99)*(Лист2!B$2:B$505=B99),Лист2!C$2:C$505)</f>
        <v>17</v>
      </c>
      <c r="F99" s="6" cm="1">
        <f t="array" ref="F99">_xlfn.XLOOKUP(1,(Лист2!A$2:A$505=A99)*(Лист2!B$2:B$505=B99),Лист2!D$2:D$505)</f>
        <v>1439</v>
      </c>
      <c r="G99" s="6" cm="1">
        <f t="array" ref="G99">_xlfn.XLOOKUP(1,(Лист2!A$2:A$505=A99)*(Лист2!B$2:B$505=B99),Лист2!E$2:E$505)</f>
        <v>1265</v>
      </c>
      <c r="H99">
        <f t="shared" si="2"/>
        <v>125695.147058824</v>
      </c>
      <c r="I99">
        <f t="shared" si="3"/>
        <v>18</v>
      </c>
    </row>
    <row r="100" ht="14.25" customHeight="1" spans="1:9">
      <c r="A100" s="10">
        <v>43964</v>
      </c>
      <c r="B100" s="11" t="s">
        <v>13</v>
      </c>
      <c r="C100" s="11">
        <v>26464.5</v>
      </c>
      <c r="D100" s="11">
        <v>2373337.5</v>
      </c>
      <c r="E100" s="6" cm="1">
        <f t="array" ref="E100">_xlfn.XLOOKUP(1,(Лист2!A$2:A$505=A100)*(Лист2!B$2:B$505=B100),Лист2!C$2:C$505)</f>
        <v>19</v>
      </c>
      <c r="F100" s="6" cm="1">
        <f t="array" ref="F100">_xlfn.XLOOKUP(1,(Лист2!A$2:A$505=A100)*(Лист2!B$2:B$505=B100),Лист2!D$2:D$505)</f>
        <v>1625</v>
      </c>
      <c r="G100" s="6" cm="1">
        <f t="array" ref="G100">_xlfn.XLOOKUP(1,(Лист2!A$2:A$505=A100)*(Лист2!B$2:B$505=B100),Лист2!E$2:E$505)</f>
        <v>1444</v>
      </c>
      <c r="H100">
        <f t="shared" si="2"/>
        <v>124912.5</v>
      </c>
      <c r="I100">
        <f t="shared" si="3"/>
        <v>20</v>
      </c>
    </row>
    <row r="101" ht="14.25" customHeight="1" spans="1:9">
      <c r="A101" s="12">
        <v>43954</v>
      </c>
      <c r="B101" s="13" t="s">
        <v>13</v>
      </c>
      <c r="C101" s="13">
        <v>23539.5</v>
      </c>
      <c r="D101" s="13">
        <v>2170309.5</v>
      </c>
      <c r="E101" s="6" cm="1">
        <f t="array" ref="E101">_xlfn.XLOOKUP(1,(Лист2!A$2:A$505=A101)*(Лист2!B$2:B$505=B101),Лист2!C$2:C$505)</f>
        <v>19</v>
      </c>
      <c r="F101" s="6" cm="1">
        <f t="array" ref="F101">_xlfn.XLOOKUP(1,(Лист2!A$2:A$505=A101)*(Лист2!B$2:B$505=B101),Лист2!D$2:D$505)</f>
        <v>1402</v>
      </c>
      <c r="G101" s="6" cm="1">
        <f t="array" ref="G101">_xlfn.XLOOKUP(1,(Лист2!A$2:A$505=A101)*(Лист2!B$2:B$505=B101),Лист2!E$2:E$505)</f>
        <v>1234</v>
      </c>
      <c r="H101">
        <f t="shared" si="2"/>
        <v>114226.815789474</v>
      </c>
      <c r="I101">
        <f t="shared" si="3"/>
        <v>18</v>
      </c>
    </row>
    <row r="102" ht="14.25" customHeight="1" spans="1:9">
      <c r="A102" s="10">
        <v>43957</v>
      </c>
      <c r="B102" s="11" t="s">
        <v>13</v>
      </c>
      <c r="C102" s="11">
        <v>24678</v>
      </c>
      <c r="D102" s="11">
        <v>2232519</v>
      </c>
      <c r="E102" s="6" cm="1">
        <f t="array" ref="E102">_xlfn.XLOOKUP(1,(Лист2!A$2:A$505=A102)*(Лист2!B$2:B$505=B102),Лист2!C$2:C$505)</f>
        <v>19</v>
      </c>
      <c r="F102" s="6" cm="1">
        <f t="array" ref="F102">_xlfn.XLOOKUP(1,(Лист2!A$2:A$505=A102)*(Лист2!B$2:B$505=B102),Лист2!D$2:D$505)</f>
        <v>1499</v>
      </c>
      <c r="G102" s="6" cm="1">
        <f t="array" ref="G102">_xlfn.XLOOKUP(1,(Лист2!A$2:A$505=A102)*(Лист2!B$2:B$505=B102),Лист2!E$2:E$505)</f>
        <v>1323</v>
      </c>
      <c r="H102">
        <f t="shared" si="2"/>
        <v>117501</v>
      </c>
      <c r="I102">
        <f t="shared" si="3"/>
        <v>19</v>
      </c>
    </row>
    <row r="103" ht="14.25" customHeight="1" spans="1:9">
      <c r="A103" s="12">
        <v>43974</v>
      </c>
      <c r="B103" s="13" t="s">
        <v>13</v>
      </c>
      <c r="C103" s="13">
        <v>38176.5</v>
      </c>
      <c r="D103" s="13">
        <v>3385372.5</v>
      </c>
      <c r="E103" s="6" cm="1">
        <f t="array" ref="E103">_xlfn.XLOOKUP(1,(Лист2!A$2:A$505=A103)*(Лист2!B$2:B$505=B103),Лист2!C$2:C$505)</f>
        <v>20</v>
      </c>
      <c r="F103" s="6" cm="1">
        <f t="array" ref="F103">_xlfn.XLOOKUP(1,(Лист2!A$2:A$505=A103)*(Лист2!B$2:B$505=B103),Лист2!D$2:D$505)</f>
        <v>2266</v>
      </c>
      <c r="G103" s="6" cm="1">
        <f t="array" ref="G103">_xlfn.XLOOKUP(1,(Лист2!A$2:A$505=A103)*(Лист2!B$2:B$505=B103),Лист2!E$2:E$505)</f>
        <v>1993</v>
      </c>
      <c r="H103">
        <f t="shared" si="2"/>
        <v>169268.625</v>
      </c>
      <c r="I103">
        <f t="shared" si="3"/>
        <v>21</v>
      </c>
    </row>
    <row r="104" ht="14.25" customHeight="1" spans="1:9">
      <c r="A104" s="10">
        <v>43976</v>
      </c>
      <c r="B104" s="11" t="s">
        <v>13</v>
      </c>
      <c r="C104" s="11">
        <v>30603</v>
      </c>
      <c r="D104" s="11">
        <v>2865727.5</v>
      </c>
      <c r="E104" s="6" cm="1">
        <f t="array" ref="E104">_xlfn.XLOOKUP(1,(Лист2!A$2:A$505=A104)*(Лист2!B$2:B$505=B104),Лист2!C$2:C$505)</f>
        <v>20</v>
      </c>
      <c r="F104" s="6" cm="1">
        <f t="array" ref="F104">_xlfn.XLOOKUP(1,(Лист2!A$2:A$505=A104)*(Лист2!B$2:B$505=B104),Лист2!D$2:D$505)</f>
        <v>2011</v>
      </c>
      <c r="G104" s="6" cm="1">
        <f t="array" ref="G104">_xlfn.XLOOKUP(1,(Лист2!A$2:A$505=A104)*(Лист2!B$2:B$505=B104),Лист2!E$2:E$505)</f>
        <v>1791</v>
      </c>
      <c r="H104">
        <f t="shared" si="2"/>
        <v>143286.375</v>
      </c>
      <c r="I104">
        <f t="shared" si="3"/>
        <v>22</v>
      </c>
    </row>
    <row r="105" ht="14.25" customHeight="1" spans="1:9">
      <c r="A105" s="12">
        <v>43951</v>
      </c>
      <c r="B105" s="13" t="s">
        <v>13</v>
      </c>
      <c r="C105" s="13">
        <v>24211.5</v>
      </c>
      <c r="D105" s="13">
        <v>2267664</v>
      </c>
      <c r="E105" s="6" cm="1">
        <f t="array" ref="E105">_xlfn.XLOOKUP(1,(Лист2!A$2:A$505=A105)*(Лист2!B$2:B$505=B105),Лист2!C$2:C$505)</f>
        <v>19</v>
      </c>
      <c r="F105" s="6" cm="1">
        <f t="array" ref="F105">_xlfn.XLOOKUP(1,(Лист2!A$2:A$505=A105)*(Лист2!B$2:B$505=B105),Лист2!D$2:D$505)</f>
        <v>1499</v>
      </c>
      <c r="G105" s="6" cm="1">
        <f t="array" ref="G105">_xlfn.XLOOKUP(1,(Лист2!A$2:A$505=A105)*(Лист2!B$2:B$505=B105),Лист2!E$2:E$505)</f>
        <v>1322</v>
      </c>
      <c r="H105">
        <f t="shared" si="2"/>
        <v>119350.736842105</v>
      </c>
      <c r="I105">
        <f t="shared" si="3"/>
        <v>18</v>
      </c>
    </row>
    <row r="106" ht="14.25" customHeight="1" spans="1:9">
      <c r="A106" s="10">
        <v>43961</v>
      </c>
      <c r="B106" s="11" t="s">
        <v>13</v>
      </c>
      <c r="C106" s="11">
        <v>31399.5</v>
      </c>
      <c r="D106" s="11">
        <v>2862298.5</v>
      </c>
      <c r="E106" s="6" cm="1">
        <f t="array" ref="E106">_xlfn.XLOOKUP(1,(Лист2!A$2:A$505=A106)*(Лист2!B$2:B$505=B106),Лист2!C$2:C$505)</f>
        <v>19</v>
      </c>
      <c r="F106" s="6" cm="1">
        <f t="array" ref="F106">_xlfn.XLOOKUP(1,(Лист2!A$2:A$505=A106)*(Лист2!B$2:B$505=B106),Лист2!D$2:D$505)</f>
        <v>1848</v>
      </c>
      <c r="G106" s="6" cm="1">
        <f t="array" ref="G106">_xlfn.XLOOKUP(1,(Лист2!A$2:A$505=A106)*(Лист2!B$2:B$505=B106),Лист2!E$2:E$505)</f>
        <v>1649</v>
      </c>
      <c r="H106">
        <f t="shared" si="2"/>
        <v>150647.289473684</v>
      </c>
      <c r="I106">
        <f t="shared" si="3"/>
        <v>19</v>
      </c>
    </row>
    <row r="107" ht="14.25" customHeight="1" spans="1:9">
      <c r="A107" s="12">
        <v>43959</v>
      </c>
      <c r="B107" s="13" t="s">
        <v>13</v>
      </c>
      <c r="C107" s="13">
        <v>25294.5</v>
      </c>
      <c r="D107" s="13">
        <v>2271454.5</v>
      </c>
      <c r="E107" s="6" cm="1">
        <f t="array" ref="E107">_xlfn.XLOOKUP(1,(Лист2!A$2:A$505=A107)*(Лист2!B$2:B$505=B107),Лист2!C$2:C$505)</f>
        <v>19</v>
      </c>
      <c r="F107" s="6" cm="1">
        <f t="array" ref="F107">_xlfn.XLOOKUP(1,(Лист2!A$2:A$505=A107)*(Лист2!B$2:B$505=B107),Лист2!D$2:D$505)</f>
        <v>1522</v>
      </c>
      <c r="G107" s="6" cm="1">
        <f t="array" ref="G107">_xlfn.XLOOKUP(1,(Лист2!A$2:A$505=A107)*(Лист2!B$2:B$505=B107),Лист2!E$2:E$505)</f>
        <v>1340</v>
      </c>
      <c r="H107">
        <f t="shared" si="2"/>
        <v>119550.236842105</v>
      </c>
      <c r="I107">
        <f t="shared" si="3"/>
        <v>19</v>
      </c>
    </row>
    <row r="108" ht="14.25" customHeight="1" spans="1:9">
      <c r="A108" s="10">
        <v>43958</v>
      </c>
      <c r="B108" s="11" t="s">
        <v>13</v>
      </c>
      <c r="C108" s="11">
        <v>25468.5</v>
      </c>
      <c r="D108" s="11">
        <v>2350672.5</v>
      </c>
      <c r="E108" s="6" cm="1">
        <f t="array" ref="E108">_xlfn.XLOOKUP(1,(Лист2!A$2:A$505=A108)*(Лист2!B$2:B$505=B108),Лист2!C$2:C$505)</f>
        <v>19</v>
      </c>
      <c r="F108" s="6" cm="1">
        <f t="array" ref="F108">_xlfn.XLOOKUP(1,(Лист2!A$2:A$505=A108)*(Лист2!B$2:B$505=B108),Лист2!D$2:D$505)</f>
        <v>1530</v>
      </c>
      <c r="G108" s="6" cm="1">
        <f t="array" ref="G108">_xlfn.XLOOKUP(1,(Лист2!A$2:A$505=A108)*(Лист2!B$2:B$505=B108),Лист2!E$2:E$505)</f>
        <v>1338</v>
      </c>
      <c r="H108">
        <f t="shared" si="2"/>
        <v>123719.605263158</v>
      </c>
      <c r="I108">
        <f t="shared" si="3"/>
        <v>19</v>
      </c>
    </row>
    <row r="109" ht="14.25" customHeight="1" spans="1:9">
      <c r="A109" s="12">
        <v>43975</v>
      </c>
      <c r="B109" s="13" t="s">
        <v>13</v>
      </c>
      <c r="C109" s="13">
        <v>31854</v>
      </c>
      <c r="D109" s="13">
        <v>2915533.5</v>
      </c>
      <c r="E109" s="6" cm="1">
        <f t="array" ref="E109">_xlfn.XLOOKUP(1,(Лист2!A$2:A$505=A109)*(Лист2!B$2:B$505=B109),Лист2!C$2:C$505)</f>
        <v>20</v>
      </c>
      <c r="F109" s="6" cm="1">
        <f t="array" ref="F109">_xlfn.XLOOKUP(1,(Лист2!A$2:A$505=A109)*(Лист2!B$2:B$505=B109),Лист2!D$2:D$505)</f>
        <v>2015</v>
      </c>
      <c r="G109" s="6" cm="1">
        <f t="array" ref="G109">_xlfn.XLOOKUP(1,(Лист2!A$2:A$505=A109)*(Лист2!B$2:B$505=B109),Лист2!E$2:E$505)</f>
        <v>1803</v>
      </c>
      <c r="H109">
        <f t="shared" si="2"/>
        <v>145776.675</v>
      </c>
      <c r="I109">
        <f t="shared" si="3"/>
        <v>21</v>
      </c>
    </row>
    <row r="110" ht="14.25" customHeight="1" spans="1:9">
      <c r="A110" s="10">
        <v>43982</v>
      </c>
      <c r="B110" s="11" t="s">
        <v>13</v>
      </c>
      <c r="C110" s="11">
        <v>32359.5</v>
      </c>
      <c r="D110" s="11">
        <v>2991999</v>
      </c>
      <c r="E110" s="6" cm="1">
        <f t="array" ref="E110">_xlfn.XLOOKUP(1,(Лист2!A$2:A$505=A110)*(Лист2!B$2:B$505=B110),Лист2!C$2:C$505)</f>
        <v>20</v>
      </c>
      <c r="F110" s="6" cm="1">
        <f t="array" ref="F110">_xlfn.XLOOKUP(1,(Лист2!A$2:A$505=A110)*(Лист2!B$2:B$505=B110),Лист2!D$2:D$505)</f>
        <v>2060</v>
      </c>
      <c r="G110" s="6" cm="1">
        <f t="array" ref="G110">_xlfn.XLOOKUP(1,(Лист2!A$2:A$505=A110)*(Лист2!B$2:B$505=B110),Лист2!E$2:E$505)</f>
        <v>1826</v>
      </c>
      <c r="H110">
        <f t="shared" si="2"/>
        <v>149599.95</v>
      </c>
      <c r="I110">
        <f t="shared" si="3"/>
        <v>22</v>
      </c>
    </row>
    <row r="111" ht="14.25" customHeight="1" spans="1:9">
      <c r="A111" s="12">
        <v>43981</v>
      </c>
      <c r="B111" s="13" t="s">
        <v>13</v>
      </c>
      <c r="C111" s="13">
        <v>39867</v>
      </c>
      <c r="D111" s="13">
        <v>3654166.5</v>
      </c>
      <c r="E111" s="6" cm="1">
        <f t="array" ref="E111">_xlfn.XLOOKUP(1,(Лист2!A$2:A$505=A111)*(Лист2!B$2:B$505=B111),Лист2!C$2:C$505)</f>
        <v>20</v>
      </c>
      <c r="F111" s="6" cm="1">
        <f t="array" ref="F111">_xlfn.XLOOKUP(1,(Лист2!A$2:A$505=A111)*(Лист2!B$2:B$505=B111),Лист2!D$2:D$505)</f>
        <v>2451</v>
      </c>
      <c r="G111" s="6" cm="1">
        <f t="array" ref="G111">_xlfn.XLOOKUP(1,(Лист2!A$2:A$505=A111)*(Лист2!B$2:B$505=B111),Лист2!E$2:E$505)</f>
        <v>2178</v>
      </c>
      <c r="H111">
        <f t="shared" si="2"/>
        <v>182708.325</v>
      </c>
      <c r="I111">
        <f t="shared" si="3"/>
        <v>22</v>
      </c>
    </row>
    <row r="112" ht="14.25" customHeight="1" spans="1:9">
      <c r="A112" s="10">
        <v>43979</v>
      </c>
      <c r="B112" s="11" t="s">
        <v>13</v>
      </c>
      <c r="C112" s="11">
        <v>31974</v>
      </c>
      <c r="D112" s="11">
        <v>3004213.5</v>
      </c>
      <c r="E112" s="6" cm="1">
        <f t="array" ref="E112">_xlfn.XLOOKUP(1,(Лист2!A$2:A$505=A112)*(Лист2!B$2:B$505=B112),Лист2!C$2:C$505)</f>
        <v>20</v>
      </c>
      <c r="F112" s="6" cm="1">
        <f t="array" ref="F112">_xlfn.XLOOKUP(1,(Лист2!A$2:A$505=A112)*(Лист2!B$2:B$505=B112),Лист2!D$2:D$505)</f>
        <v>2088</v>
      </c>
      <c r="G112" s="6" cm="1">
        <f t="array" ref="G112">_xlfn.XLOOKUP(1,(Лист2!A$2:A$505=A112)*(Лист2!B$2:B$505=B112),Лист2!E$2:E$505)</f>
        <v>1848</v>
      </c>
      <c r="H112">
        <f t="shared" si="2"/>
        <v>150210.675</v>
      </c>
      <c r="I112">
        <f t="shared" si="3"/>
        <v>22</v>
      </c>
    </row>
    <row r="113" ht="14.25" customHeight="1" spans="1:9">
      <c r="A113" s="12">
        <v>43967</v>
      </c>
      <c r="B113" s="13" t="s">
        <v>14</v>
      </c>
      <c r="C113" s="13">
        <v>321412.5</v>
      </c>
      <c r="D113" s="13">
        <v>32235864</v>
      </c>
      <c r="E113" s="6" cm="1">
        <f t="array" ref="E113">_xlfn.XLOOKUP(1,(Лист2!A$2:A$505=A113)*(Лист2!B$2:B$505=B113),Лист2!C$2:C$505)</f>
        <v>129</v>
      </c>
      <c r="F113" s="6" cm="1">
        <f t="array" ref="F113">_xlfn.XLOOKUP(1,(Лист2!A$2:A$505=A113)*(Лист2!B$2:B$505=B113),Лист2!D$2:D$505)</f>
        <v>17914</v>
      </c>
      <c r="G113" s="6" cm="1">
        <f t="array" ref="G113">_xlfn.XLOOKUP(1,(Лист2!A$2:A$505=A113)*(Лист2!B$2:B$505=B113),Лист2!E$2:E$505)</f>
        <v>16631</v>
      </c>
      <c r="H113">
        <f t="shared" si="2"/>
        <v>249890.418604651</v>
      </c>
      <c r="I113">
        <f t="shared" si="3"/>
        <v>20</v>
      </c>
    </row>
    <row r="114" ht="14.25" customHeight="1" spans="1:9">
      <c r="A114" s="10">
        <v>43970</v>
      </c>
      <c r="B114" s="11" t="s">
        <v>14</v>
      </c>
      <c r="C114" s="11">
        <v>276568.5</v>
      </c>
      <c r="D114" s="11">
        <v>27093624</v>
      </c>
      <c r="E114" s="6" cm="1">
        <f t="array" ref="E114">_xlfn.XLOOKUP(1,(Лист2!A$2:A$505=A114)*(Лист2!B$2:B$505=B114),Лист2!C$2:C$505)</f>
        <v>129</v>
      </c>
      <c r="F114" s="6" cm="1">
        <f t="array" ref="F114">_xlfn.XLOOKUP(1,(Лист2!A$2:A$505=A114)*(Лист2!B$2:B$505=B114),Лист2!D$2:D$505)</f>
        <v>16191</v>
      </c>
      <c r="G114" s="6" cm="1">
        <f t="array" ref="G114">_xlfn.XLOOKUP(1,(Лист2!A$2:A$505=A114)*(Лист2!B$2:B$505=B114),Лист2!E$2:E$505)</f>
        <v>15102</v>
      </c>
      <c r="H114">
        <f t="shared" si="2"/>
        <v>210028.093023256</v>
      </c>
      <c r="I114">
        <f t="shared" si="3"/>
        <v>21</v>
      </c>
    </row>
    <row r="115" ht="14.25" customHeight="1" spans="1:9">
      <c r="A115" s="12">
        <v>43968</v>
      </c>
      <c r="B115" s="13" t="s">
        <v>14</v>
      </c>
      <c r="C115" s="13">
        <v>269029.5</v>
      </c>
      <c r="D115" s="13">
        <v>26659930.5</v>
      </c>
      <c r="E115" s="6" cm="1">
        <f t="array" ref="E115">_xlfn.XLOOKUP(1,(Лист2!A$2:A$505=A115)*(Лист2!B$2:B$505=B115),Лист2!C$2:C$505)</f>
        <v>129</v>
      </c>
      <c r="F115" s="6" cm="1">
        <f t="array" ref="F115">_xlfn.XLOOKUP(1,(Лист2!A$2:A$505=A115)*(Лист2!B$2:B$505=B115),Лист2!D$2:D$505)</f>
        <v>15744</v>
      </c>
      <c r="G115" s="6" cm="1">
        <f t="array" ref="G115">_xlfn.XLOOKUP(1,(Лист2!A$2:A$505=A115)*(Лист2!B$2:B$505=B115),Лист2!E$2:E$505)</f>
        <v>14685</v>
      </c>
      <c r="H115">
        <f t="shared" si="2"/>
        <v>206666.127906977</v>
      </c>
      <c r="I115">
        <f t="shared" si="3"/>
        <v>20</v>
      </c>
    </row>
    <row r="116" ht="14.25" customHeight="1" spans="1:9">
      <c r="A116" s="10">
        <v>43960</v>
      </c>
      <c r="B116" s="11" t="s">
        <v>14</v>
      </c>
      <c r="C116" s="11">
        <v>285972</v>
      </c>
      <c r="D116" s="11">
        <v>29768199</v>
      </c>
      <c r="E116" s="6" cm="1">
        <f t="array" ref="E116">_xlfn.XLOOKUP(1,(Лист2!A$2:A$505=A116)*(Лист2!B$2:B$505=B116),Лист2!C$2:C$505)</f>
        <v>129</v>
      </c>
      <c r="F116" s="6" cm="1">
        <f t="array" ref="F116">_xlfn.XLOOKUP(1,(Лист2!A$2:A$505=A116)*(Лист2!B$2:B$505=B116),Лист2!D$2:D$505)</f>
        <v>16420</v>
      </c>
      <c r="G116" s="6" cm="1">
        <f t="array" ref="G116">_xlfn.XLOOKUP(1,(Лист2!A$2:A$505=A116)*(Лист2!B$2:B$505=B116),Лист2!E$2:E$505)</f>
        <v>15169</v>
      </c>
      <c r="H116">
        <f t="shared" si="2"/>
        <v>230761.23255814</v>
      </c>
      <c r="I116">
        <f t="shared" si="3"/>
        <v>19</v>
      </c>
    </row>
    <row r="117" ht="14.25" customHeight="1" spans="1:9">
      <c r="A117" s="12">
        <v>43955</v>
      </c>
      <c r="B117" s="13" t="s">
        <v>14</v>
      </c>
      <c r="C117" s="13">
        <v>283942.5</v>
      </c>
      <c r="D117" s="13">
        <v>29357940</v>
      </c>
      <c r="E117" s="6" cm="1">
        <f t="array" ref="E117">_xlfn.XLOOKUP(1,(Лист2!A$2:A$505=A117)*(Лист2!B$2:B$505=B117),Лист2!C$2:C$505)</f>
        <v>129</v>
      </c>
      <c r="F117" s="6" cm="1">
        <f t="array" ref="F117">_xlfn.XLOOKUP(1,(Лист2!A$2:A$505=A117)*(Лист2!B$2:B$505=B117),Лист2!D$2:D$505)</f>
        <v>16525</v>
      </c>
      <c r="G117" s="6" cm="1">
        <f t="array" ref="G117">_xlfn.XLOOKUP(1,(Лист2!A$2:A$505=A117)*(Лист2!B$2:B$505=B117),Лист2!E$2:E$505)</f>
        <v>15310</v>
      </c>
      <c r="H117">
        <f t="shared" si="2"/>
        <v>227580.930232558</v>
      </c>
      <c r="I117">
        <f t="shared" si="3"/>
        <v>19</v>
      </c>
    </row>
    <row r="118" ht="14.25" customHeight="1" spans="1:9">
      <c r="A118" s="10">
        <v>43950</v>
      </c>
      <c r="B118" s="11" t="s">
        <v>14</v>
      </c>
      <c r="C118" s="11">
        <v>298059</v>
      </c>
      <c r="D118" s="11">
        <v>30869287.5</v>
      </c>
      <c r="E118" s="6" cm="1">
        <f t="array" ref="E118">_xlfn.XLOOKUP(1,(Лист2!A$2:A$505=A118)*(Лист2!B$2:B$505=B118),Лист2!C$2:C$505)</f>
        <v>128</v>
      </c>
      <c r="F118" s="6" cm="1">
        <f t="array" ref="F118">_xlfn.XLOOKUP(1,(Лист2!A$2:A$505=A118)*(Лист2!B$2:B$505=B118),Лист2!D$2:D$505)</f>
        <v>17368</v>
      </c>
      <c r="G118" s="6" cm="1">
        <f t="array" ref="G118">_xlfn.XLOOKUP(1,(Лист2!A$2:A$505=A118)*(Лист2!B$2:B$505=B118),Лист2!E$2:E$505)</f>
        <v>16077</v>
      </c>
      <c r="H118">
        <f t="shared" si="2"/>
        <v>241166.30859375</v>
      </c>
      <c r="I118">
        <f t="shared" si="3"/>
        <v>18</v>
      </c>
    </row>
    <row r="119" ht="14.25" customHeight="1" spans="1:9">
      <c r="A119" s="12">
        <v>43953</v>
      </c>
      <c r="B119" s="13" t="s">
        <v>14</v>
      </c>
      <c r="C119" s="13">
        <v>232903.5</v>
      </c>
      <c r="D119" s="13">
        <v>24342016.5</v>
      </c>
      <c r="E119" s="6" cm="1">
        <f t="array" ref="E119">_xlfn.XLOOKUP(1,(Лист2!A$2:A$505=A119)*(Лист2!B$2:B$505=B119),Лист2!C$2:C$505)</f>
        <v>129</v>
      </c>
      <c r="F119" s="6" cm="1">
        <f t="array" ref="F119">_xlfn.XLOOKUP(1,(Лист2!A$2:A$505=A119)*(Лист2!B$2:B$505=B119),Лист2!D$2:D$505)</f>
        <v>14009</v>
      </c>
      <c r="G119" s="6" cm="1">
        <f t="array" ref="G119">_xlfn.XLOOKUP(1,(Лист2!A$2:A$505=A119)*(Лист2!B$2:B$505=B119),Лист2!E$2:E$505)</f>
        <v>12920</v>
      </c>
      <c r="H119">
        <f t="shared" si="2"/>
        <v>188697.802325581</v>
      </c>
      <c r="I119">
        <f t="shared" si="3"/>
        <v>18</v>
      </c>
    </row>
    <row r="120" ht="14.25" customHeight="1" spans="1:9">
      <c r="A120" s="10">
        <v>43977</v>
      </c>
      <c r="B120" s="11" t="s">
        <v>14</v>
      </c>
      <c r="C120" s="11">
        <v>276966</v>
      </c>
      <c r="D120" s="11">
        <v>27872617.89885</v>
      </c>
      <c r="E120" s="6" cm="1">
        <f t="array" ref="E120">_xlfn.XLOOKUP(1,(Лист2!A$2:A$505=A120)*(Лист2!B$2:B$505=B120),Лист2!C$2:C$505)</f>
        <v>129</v>
      </c>
      <c r="F120" s="6" cm="1">
        <f t="array" ref="F120">_xlfn.XLOOKUP(1,(Лист2!A$2:A$505=A120)*(Лист2!B$2:B$505=B120),Лист2!D$2:D$505)</f>
        <v>16459</v>
      </c>
      <c r="G120" s="6" cm="1">
        <f t="array" ref="G120">_xlfn.XLOOKUP(1,(Лист2!A$2:A$505=A120)*(Лист2!B$2:B$505=B120),Лист2!E$2:E$505)</f>
        <v>15355</v>
      </c>
      <c r="H120">
        <f t="shared" si="2"/>
        <v>216066.805417442</v>
      </c>
      <c r="I120">
        <f t="shared" si="3"/>
        <v>22</v>
      </c>
    </row>
    <row r="121" ht="14.25" customHeight="1" spans="1:9">
      <c r="A121" s="12">
        <v>43952</v>
      </c>
      <c r="B121" s="13" t="s">
        <v>14</v>
      </c>
      <c r="C121" s="13">
        <v>296149.5</v>
      </c>
      <c r="D121" s="13">
        <v>31053316.5</v>
      </c>
      <c r="E121" s="6" cm="1">
        <f t="array" ref="E121">_xlfn.XLOOKUP(1,(Лист2!A$2:A$505=A121)*(Лист2!B$2:B$505=B121),Лист2!C$2:C$505)</f>
        <v>129</v>
      </c>
      <c r="F121" s="6" cm="1">
        <f t="array" ref="F121">_xlfn.XLOOKUP(1,(Лист2!A$2:A$505=A121)*(Лист2!B$2:B$505=B121),Лист2!D$2:D$505)</f>
        <v>17002</v>
      </c>
      <c r="G121" s="6" cm="1">
        <f t="array" ref="G121">_xlfn.XLOOKUP(1,(Лист2!A$2:A$505=A121)*(Лист2!B$2:B$505=B121),Лист2!E$2:E$505)</f>
        <v>15570</v>
      </c>
      <c r="H121">
        <f t="shared" si="2"/>
        <v>240723.38372093</v>
      </c>
      <c r="I121">
        <f t="shared" si="3"/>
        <v>18</v>
      </c>
    </row>
    <row r="122" ht="14.25" customHeight="1" spans="1:9">
      <c r="A122" s="10">
        <v>43963</v>
      </c>
      <c r="B122" s="11" t="s">
        <v>14</v>
      </c>
      <c r="C122" s="11">
        <v>281796</v>
      </c>
      <c r="D122" s="11">
        <v>29042520</v>
      </c>
      <c r="E122" s="6" cm="1">
        <f t="array" ref="E122">_xlfn.XLOOKUP(1,(Лист2!A$2:A$505=A122)*(Лист2!B$2:B$505=B122),Лист2!C$2:C$505)</f>
        <v>129</v>
      </c>
      <c r="F122" s="6" cm="1">
        <f t="array" ref="F122">_xlfn.XLOOKUP(1,(Лист2!A$2:A$505=A122)*(Лист2!B$2:B$505=B122),Лист2!D$2:D$505)</f>
        <v>16387</v>
      </c>
      <c r="G122" s="6" cm="1">
        <f t="array" ref="G122">_xlfn.XLOOKUP(1,(Лист2!A$2:A$505=A122)*(Лист2!B$2:B$505=B122),Лист2!E$2:E$505)</f>
        <v>15322</v>
      </c>
      <c r="H122">
        <f t="shared" si="2"/>
        <v>225135.813953488</v>
      </c>
      <c r="I122">
        <f t="shared" si="3"/>
        <v>20</v>
      </c>
    </row>
    <row r="123" ht="14.25" customHeight="1" spans="1:9">
      <c r="A123" s="12">
        <v>43972</v>
      </c>
      <c r="B123" s="13" t="s">
        <v>14</v>
      </c>
      <c r="C123" s="13">
        <v>288936</v>
      </c>
      <c r="D123" s="13">
        <v>27852900</v>
      </c>
      <c r="E123" s="6" cm="1">
        <f t="array" ref="E123">_xlfn.XLOOKUP(1,(Лист2!A$2:A$505=A123)*(Лист2!B$2:B$505=B123),Лист2!C$2:C$505)</f>
        <v>129</v>
      </c>
      <c r="F123" s="6" cm="1">
        <f t="array" ref="F123">_xlfn.XLOOKUP(1,(Лист2!A$2:A$505=A123)*(Лист2!B$2:B$505=B123),Лист2!D$2:D$505)</f>
        <v>16373</v>
      </c>
      <c r="G123" s="6" cm="1">
        <f t="array" ref="G123">_xlfn.XLOOKUP(1,(Лист2!A$2:A$505=A123)*(Лист2!B$2:B$505=B123),Лист2!E$2:E$505)</f>
        <v>15223</v>
      </c>
      <c r="H123">
        <f t="shared" si="2"/>
        <v>215913.953488372</v>
      </c>
      <c r="I123">
        <f t="shared" si="3"/>
        <v>21</v>
      </c>
    </row>
    <row r="124" ht="14.25" customHeight="1" spans="1:9">
      <c r="A124" s="10">
        <v>43971</v>
      </c>
      <c r="B124" s="11" t="s">
        <v>14</v>
      </c>
      <c r="C124" s="11">
        <v>300151.5</v>
      </c>
      <c r="D124" s="11">
        <v>29368771.61745</v>
      </c>
      <c r="E124" s="6" cm="1">
        <f t="array" ref="E124">_xlfn.XLOOKUP(1,(Лист2!A$2:A$505=A124)*(Лист2!B$2:B$505=B124),Лист2!C$2:C$505)</f>
        <v>129</v>
      </c>
      <c r="F124" s="6" cm="1">
        <f t="array" ref="F124">_xlfn.XLOOKUP(1,(Лист2!A$2:A$505=A124)*(Лист2!B$2:B$505=B124),Лист2!D$2:D$505)</f>
        <v>17095</v>
      </c>
      <c r="G124" s="6" cm="1">
        <f t="array" ref="G124">_xlfn.XLOOKUP(1,(Лист2!A$2:A$505=A124)*(Лист2!B$2:B$505=B124),Лист2!E$2:E$505)</f>
        <v>15919</v>
      </c>
      <c r="H124">
        <f t="shared" si="2"/>
        <v>227664.896259302</v>
      </c>
      <c r="I124">
        <f t="shared" si="3"/>
        <v>21</v>
      </c>
    </row>
    <row r="125" ht="14.25" customHeight="1" spans="1:9">
      <c r="A125" s="12">
        <v>43956</v>
      </c>
      <c r="B125" s="13" t="s">
        <v>14</v>
      </c>
      <c r="C125" s="13">
        <v>262734</v>
      </c>
      <c r="D125" s="13">
        <v>27278441.145</v>
      </c>
      <c r="E125" s="6" cm="1">
        <f t="array" ref="E125">_xlfn.XLOOKUP(1,(Лист2!A$2:A$505=A125)*(Лист2!B$2:B$505=B125),Лист2!C$2:C$505)</f>
        <v>129</v>
      </c>
      <c r="F125" s="6" cm="1">
        <f t="array" ref="F125">_xlfn.XLOOKUP(1,(Лист2!A$2:A$505=A125)*(Лист2!B$2:B$505=B125),Лист2!D$2:D$505)</f>
        <v>15665</v>
      </c>
      <c r="G125" s="6" cm="1">
        <f t="array" ref="G125">_xlfn.XLOOKUP(1,(Лист2!A$2:A$505=A125)*(Лист2!B$2:B$505=B125),Лист2!E$2:E$505)</f>
        <v>14501</v>
      </c>
      <c r="H125">
        <f t="shared" si="2"/>
        <v>211460.784069767</v>
      </c>
      <c r="I125">
        <f t="shared" si="3"/>
        <v>19</v>
      </c>
    </row>
    <row r="126" ht="14.25" customHeight="1" spans="1:9">
      <c r="A126" s="10">
        <v>43949</v>
      </c>
      <c r="B126" s="11" t="s">
        <v>14</v>
      </c>
      <c r="C126" s="11">
        <v>286002</v>
      </c>
      <c r="D126" s="11">
        <v>29159032.5</v>
      </c>
      <c r="E126" s="6" cm="1">
        <f t="array" ref="E126">_xlfn.XLOOKUP(1,(Лист2!A$2:A$505=A126)*(Лист2!B$2:B$505=B126),Лист2!C$2:C$505)</f>
        <v>128</v>
      </c>
      <c r="F126" s="6" cm="1">
        <f t="array" ref="F126">_xlfn.XLOOKUP(1,(Лист2!A$2:A$505=A126)*(Лист2!B$2:B$505=B126),Лист2!D$2:D$505)</f>
        <v>16450</v>
      </c>
      <c r="G126" s="6" cm="1">
        <f t="array" ref="G126">_xlfn.XLOOKUP(1,(Лист2!A$2:A$505=A126)*(Лист2!B$2:B$505=B126),Лист2!E$2:E$505)</f>
        <v>15320</v>
      </c>
      <c r="H126">
        <f t="shared" si="2"/>
        <v>227804.94140625</v>
      </c>
      <c r="I126">
        <f t="shared" si="3"/>
        <v>18</v>
      </c>
    </row>
    <row r="127" ht="14.25" customHeight="1" spans="1:9">
      <c r="A127" s="12">
        <v>43964</v>
      </c>
      <c r="B127" s="13" t="s">
        <v>14</v>
      </c>
      <c r="C127" s="13">
        <v>258459</v>
      </c>
      <c r="D127" s="13">
        <v>26467453.5</v>
      </c>
      <c r="E127" s="6" cm="1">
        <f t="array" ref="E127">_xlfn.XLOOKUP(1,(Лист2!A$2:A$505=A127)*(Лист2!B$2:B$505=B127),Лист2!C$2:C$505)</f>
        <v>129</v>
      </c>
      <c r="F127" s="6" cm="1">
        <f t="array" ref="F127">_xlfn.XLOOKUP(1,(Лист2!A$2:A$505=A127)*(Лист2!B$2:B$505=B127),Лист2!D$2:D$505)</f>
        <v>15304</v>
      </c>
      <c r="G127" s="6" cm="1">
        <f t="array" ref="G127">_xlfn.XLOOKUP(1,(Лист2!A$2:A$505=A127)*(Лист2!B$2:B$505=B127),Лист2!E$2:E$505)</f>
        <v>14315</v>
      </c>
      <c r="H127">
        <f t="shared" si="2"/>
        <v>205174.058139535</v>
      </c>
      <c r="I127">
        <f t="shared" si="3"/>
        <v>20</v>
      </c>
    </row>
    <row r="128" ht="14.25" customHeight="1" spans="1:9">
      <c r="A128" s="10">
        <v>43954</v>
      </c>
      <c r="B128" s="11" t="s">
        <v>14</v>
      </c>
      <c r="C128" s="11">
        <v>274083</v>
      </c>
      <c r="D128" s="11">
        <v>28427001</v>
      </c>
      <c r="E128" s="6" cm="1">
        <f t="array" ref="E128">_xlfn.XLOOKUP(1,(Лист2!A$2:A$505=A128)*(Лист2!B$2:B$505=B128),Лист2!C$2:C$505)</f>
        <v>129</v>
      </c>
      <c r="F128" s="6" cm="1">
        <f t="array" ref="F128">_xlfn.XLOOKUP(1,(Лист2!A$2:A$505=A128)*(Лист2!B$2:B$505=B128),Лист2!D$2:D$505)</f>
        <v>15778</v>
      </c>
      <c r="G128" s="6" cm="1">
        <f t="array" ref="G128">_xlfn.XLOOKUP(1,(Лист2!A$2:A$505=A128)*(Лист2!B$2:B$505=B128),Лист2!E$2:E$505)</f>
        <v>14624</v>
      </c>
      <c r="H128">
        <f t="shared" si="2"/>
        <v>220364.348837209</v>
      </c>
      <c r="I128">
        <f t="shared" si="3"/>
        <v>18</v>
      </c>
    </row>
    <row r="129" ht="14.25" customHeight="1" spans="1:9">
      <c r="A129" s="12">
        <v>43957</v>
      </c>
      <c r="B129" s="13" t="s">
        <v>14</v>
      </c>
      <c r="C129" s="13">
        <v>277512</v>
      </c>
      <c r="D129" s="13">
        <v>28770810.1056</v>
      </c>
      <c r="E129" s="6" cm="1">
        <f t="array" ref="E129">_xlfn.XLOOKUP(1,(Лист2!A$2:A$505=A129)*(Лист2!B$2:B$505=B129),Лист2!C$2:C$505)</f>
        <v>129</v>
      </c>
      <c r="F129" s="6" cm="1">
        <f t="array" ref="F129">_xlfn.XLOOKUP(1,(Лист2!A$2:A$505=A129)*(Лист2!B$2:B$505=B129),Лист2!D$2:D$505)</f>
        <v>16376</v>
      </c>
      <c r="G129" s="6" cm="1">
        <f t="array" ref="G129">_xlfn.XLOOKUP(1,(Лист2!A$2:A$505=A129)*(Лист2!B$2:B$505=B129),Лист2!E$2:E$505)</f>
        <v>15197</v>
      </c>
      <c r="H129">
        <f t="shared" si="2"/>
        <v>223029.535702326</v>
      </c>
      <c r="I129">
        <f t="shared" si="3"/>
        <v>19</v>
      </c>
    </row>
    <row r="130" ht="14.25" customHeight="1" spans="1:9">
      <c r="A130" s="10">
        <v>43974</v>
      </c>
      <c r="B130" s="11" t="s">
        <v>14</v>
      </c>
      <c r="C130" s="11">
        <v>356982</v>
      </c>
      <c r="D130" s="11">
        <v>35103926.71155</v>
      </c>
      <c r="E130" s="6" cm="1">
        <f t="array" ref="E130">_xlfn.XLOOKUP(1,(Лист2!A$2:A$505=A130)*(Лист2!B$2:B$505=B130),Лист2!C$2:C$505)</f>
        <v>129</v>
      </c>
      <c r="F130" s="6" cm="1">
        <f t="array" ref="F130">_xlfn.XLOOKUP(1,(Лист2!A$2:A$505=A130)*(Лист2!B$2:B$505=B130),Лист2!D$2:D$505)</f>
        <v>19856</v>
      </c>
      <c r="G130" s="6" cm="1">
        <f t="array" ref="G130">_xlfn.XLOOKUP(1,(Лист2!A$2:A$505=A130)*(Лист2!B$2:B$505=B130),Лист2!E$2:E$505)</f>
        <v>18325</v>
      </c>
      <c r="H130">
        <f t="shared" si="2"/>
        <v>272123.462880233</v>
      </c>
      <c r="I130">
        <f t="shared" si="3"/>
        <v>21</v>
      </c>
    </row>
    <row r="131" ht="14.25" customHeight="1" spans="1:9">
      <c r="A131" s="12">
        <v>43976</v>
      </c>
      <c r="B131" s="13" t="s">
        <v>14</v>
      </c>
      <c r="C131" s="13">
        <v>266983.5</v>
      </c>
      <c r="D131" s="13">
        <v>27165913.5</v>
      </c>
      <c r="E131" s="6" cm="1">
        <f t="array" ref="E131">_xlfn.XLOOKUP(1,(Лист2!A$2:A$505=A131)*(Лист2!B$2:B$505=B131),Лист2!C$2:C$505)</f>
        <v>129</v>
      </c>
      <c r="F131" s="6" cm="1">
        <f t="array" ref="F131">_xlfn.XLOOKUP(1,(Лист2!A$2:A$505=A131)*(Лист2!B$2:B$505=B131),Лист2!D$2:D$505)</f>
        <v>15822</v>
      </c>
      <c r="G131" s="6" cm="1">
        <f t="array" ref="G131">_xlfn.XLOOKUP(1,(Лист2!A$2:A$505=A131)*(Лист2!B$2:B$505=B131),Лист2!E$2:E$505)</f>
        <v>14753</v>
      </c>
      <c r="H131">
        <f t="shared" ref="H131:H194" si="4">D131/E131</f>
        <v>210588.476744186</v>
      </c>
      <c r="I131">
        <f t="shared" ref="I131:I194" si="5">WEEKNUM(A131,2)</f>
        <v>22</v>
      </c>
    </row>
    <row r="132" ht="14.25" customHeight="1" spans="1:9">
      <c r="A132" s="10">
        <v>43951</v>
      </c>
      <c r="B132" s="11" t="s">
        <v>14</v>
      </c>
      <c r="C132" s="11">
        <v>311131.5</v>
      </c>
      <c r="D132" s="11">
        <v>32418879</v>
      </c>
      <c r="E132" s="6" cm="1">
        <f t="array" ref="E132">_xlfn.XLOOKUP(1,(Лист2!A$2:A$505=A132)*(Лист2!B$2:B$505=B132),Лист2!C$2:C$505)</f>
        <v>129</v>
      </c>
      <c r="F132" s="6" cm="1">
        <f t="array" ref="F132">_xlfn.XLOOKUP(1,(Лист2!A$2:A$505=A132)*(Лист2!B$2:B$505=B132),Лист2!D$2:D$505)</f>
        <v>18042</v>
      </c>
      <c r="G132" s="6" cm="1">
        <f t="array" ref="G132">_xlfn.XLOOKUP(1,(Лист2!A$2:A$505=A132)*(Лист2!B$2:B$505=B132),Лист2!E$2:E$505)</f>
        <v>16631</v>
      </c>
      <c r="H132">
        <f t="shared" si="4"/>
        <v>251309.139534884</v>
      </c>
      <c r="I132">
        <f t="shared" si="5"/>
        <v>18</v>
      </c>
    </row>
    <row r="133" ht="14.25" customHeight="1" spans="1:9">
      <c r="A133" s="12">
        <v>43961</v>
      </c>
      <c r="B133" s="13" t="s">
        <v>14</v>
      </c>
      <c r="C133" s="13">
        <v>287206.5</v>
      </c>
      <c r="D133" s="13">
        <v>29536176.10605</v>
      </c>
      <c r="E133" s="6" cm="1">
        <f t="array" ref="E133">_xlfn.XLOOKUP(1,(Лист2!A$2:A$505=A133)*(Лист2!B$2:B$505=B133),Лист2!C$2:C$505)</f>
        <v>129</v>
      </c>
      <c r="F133" s="6" cm="1">
        <f t="array" ref="F133">_xlfn.XLOOKUP(1,(Лист2!A$2:A$505=A133)*(Лист2!B$2:B$505=B133),Лист2!D$2:D$505)</f>
        <v>16437</v>
      </c>
      <c r="G133" s="6" cm="1">
        <f t="array" ref="G133">_xlfn.XLOOKUP(1,(Лист2!A$2:A$505=A133)*(Лист2!B$2:B$505=B133),Лист2!E$2:E$505)</f>
        <v>15285</v>
      </c>
      <c r="H133">
        <f t="shared" si="4"/>
        <v>228962.605473256</v>
      </c>
      <c r="I133">
        <f t="shared" si="5"/>
        <v>19</v>
      </c>
    </row>
    <row r="134" ht="14.25" customHeight="1" spans="1:9">
      <c r="A134" s="10">
        <v>43959</v>
      </c>
      <c r="B134" s="11" t="s">
        <v>14</v>
      </c>
      <c r="C134" s="11">
        <v>370092</v>
      </c>
      <c r="D134" s="11">
        <v>38091556.5</v>
      </c>
      <c r="E134" s="6" cm="1">
        <f t="array" ref="E134">_xlfn.XLOOKUP(1,(Лист2!A$2:A$505=A134)*(Лист2!B$2:B$505=B134),Лист2!C$2:C$505)</f>
        <v>129</v>
      </c>
      <c r="F134" s="6" cm="1">
        <f t="array" ref="F134">_xlfn.XLOOKUP(1,(Лист2!A$2:A$505=A134)*(Лист2!B$2:B$505=B134),Лист2!D$2:D$505)</f>
        <v>20452</v>
      </c>
      <c r="G134" s="6" cm="1">
        <f t="array" ref="G134">_xlfn.XLOOKUP(1,(Лист2!A$2:A$505=A134)*(Лист2!B$2:B$505=B134),Лист2!E$2:E$505)</f>
        <v>18857</v>
      </c>
      <c r="H134">
        <f t="shared" si="4"/>
        <v>295283.38372093</v>
      </c>
      <c r="I134">
        <f t="shared" si="5"/>
        <v>19</v>
      </c>
    </row>
    <row r="135" ht="14.25" customHeight="1" spans="1:9">
      <c r="A135" s="12">
        <v>43958</v>
      </c>
      <c r="B135" s="13" t="s">
        <v>14</v>
      </c>
      <c r="C135" s="13">
        <v>247813.5</v>
      </c>
      <c r="D135" s="13">
        <v>25325271</v>
      </c>
      <c r="E135" s="6" cm="1">
        <f t="array" ref="E135">_xlfn.XLOOKUP(1,(Лист2!A$2:A$505=A135)*(Лист2!B$2:B$505=B135),Лист2!C$2:C$505)</f>
        <v>129</v>
      </c>
      <c r="F135" s="6" cm="1">
        <f t="array" ref="F135">_xlfn.XLOOKUP(1,(Лист2!A$2:A$505=A135)*(Лист2!B$2:B$505=B135),Лист2!D$2:D$505)</f>
        <v>14582</v>
      </c>
      <c r="G135" s="6" cm="1">
        <f t="array" ref="G135">_xlfn.XLOOKUP(1,(Лист2!A$2:A$505=A135)*(Лист2!B$2:B$505=B135),Лист2!E$2:E$505)</f>
        <v>13512</v>
      </c>
      <c r="H135">
        <f t="shared" si="4"/>
        <v>196319.930232558</v>
      </c>
      <c r="I135">
        <f t="shared" si="5"/>
        <v>19</v>
      </c>
    </row>
    <row r="136" ht="14.25" customHeight="1" spans="1:9">
      <c r="A136" s="10">
        <v>43975</v>
      </c>
      <c r="B136" s="11" t="s">
        <v>14</v>
      </c>
      <c r="C136" s="11">
        <v>287740.5</v>
      </c>
      <c r="D136" s="11">
        <v>28188534</v>
      </c>
      <c r="E136" s="6" cm="1">
        <f t="array" ref="E136">_xlfn.XLOOKUP(1,(Лист2!A$2:A$505=A136)*(Лист2!B$2:B$505=B136),Лист2!C$2:C$505)</f>
        <v>129</v>
      </c>
      <c r="F136" s="6" cm="1">
        <f t="array" ref="F136">_xlfn.XLOOKUP(1,(Лист2!A$2:A$505=A136)*(Лист2!B$2:B$505=B136),Лист2!D$2:D$505)</f>
        <v>16432</v>
      </c>
      <c r="G136" s="6" cm="1">
        <f t="array" ref="G136">_xlfn.XLOOKUP(1,(Лист2!A$2:A$505=A136)*(Лист2!B$2:B$505=B136),Лист2!E$2:E$505)</f>
        <v>15345</v>
      </c>
      <c r="H136">
        <f t="shared" si="4"/>
        <v>218515.76744186</v>
      </c>
      <c r="I136">
        <f t="shared" si="5"/>
        <v>21</v>
      </c>
    </row>
    <row r="137" ht="14.25" customHeight="1" spans="1:9">
      <c r="A137" s="12">
        <v>43967</v>
      </c>
      <c r="B137" s="13" t="s">
        <v>15</v>
      </c>
      <c r="C137" s="13">
        <v>408810</v>
      </c>
      <c r="D137" s="13">
        <v>42323631</v>
      </c>
      <c r="E137" s="6" cm="1">
        <f t="array" ref="E137">_xlfn.XLOOKUP(1,(Лист2!A$2:A$505=A137)*(Лист2!B$2:B$505=B137),Лист2!C$2:C$505)</f>
        <v>125</v>
      </c>
      <c r="F137" s="6" cm="1">
        <f t="array" ref="F137">_xlfn.XLOOKUP(1,(Лист2!A$2:A$505=A137)*(Лист2!B$2:B$505=B137),Лист2!D$2:D$505)</f>
        <v>22291</v>
      </c>
      <c r="G137" s="6" cm="1">
        <f t="array" ref="G137">_xlfn.XLOOKUP(1,(Лист2!A$2:A$505=A137)*(Лист2!B$2:B$505=B137),Лист2!E$2:E$505)</f>
        <v>20635</v>
      </c>
      <c r="H137">
        <f t="shared" si="4"/>
        <v>338589.048</v>
      </c>
      <c r="I137">
        <f t="shared" si="5"/>
        <v>20</v>
      </c>
    </row>
    <row r="138" ht="14.25" customHeight="1" spans="1:9">
      <c r="A138" s="10">
        <v>43970</v>
      </c>
      <c r="B138" s="11" t="s">
        <v>15</v>
      </c>
      <c r="C138" s="11">
        <v>362536.5</v>
      </c>
      <c r="D138" s="11">
        <v>37023243</v>
      </c>
      <c r="E138" s="6" cm="1">
        <f t="array" ref="E138">_xlfn.XLOOKUP(1,(Лист2!A$2:A$505=A138)*(Лист2!B$2:B$505=B138),Лист2!C$2:C$505)</f>
        <v>125</v>
      </c>
      <c r="F138" s="6" cm="1">
        <f t="array" ref="F138">_xlfn.XLOOKUP(1,(Лист2!A$2:A$505=A138)*(Лист2!B$2:B$505=B138),Лист2!D$2:D$505)</f>
        <v>20771</v>
      </c>
      <c r="G138" s="6" cm="1">
        <f t="array" ref="G138">_xlfn.XLOOKUP(1,(Лист2!A$2:A$505=A138)*(Лист2!B$2:B$505=B138),Лист2!E$2:E$505)</f>
        <v>19338</v>
      </c>
      <c r="H138">
        <f t="shared" si="4"/>
        <v>296185.944</v>
      </c>
      <c r="I138">
        <f t="shared" si="5"/>
        <v>21</v>
      </c>
    </row>
    <row r="139" ht="14.25" customHeight="1" spans="1:9">
      <c r="A139" s="12">
        <v>43968</v>
      </c>
      <c r="B139" s="13" t="s">
        <v>15</v>
      </c>
      <c r="C139" s="13">
        <v>357072</v>
      </c>
      <c r="D139" s="13">
        <v>36834567</v>
      </c>
      <c r="E139" s="6" cm="1">
        <f t="array" ref="E139">_xlfn.XLOOKUP(1,(Лист2!A$2:A$505=A139)*(Лист2!B$2:B$505=B139),Лист2!C$2:C$505)</f>
        <v>125</v>
      </c>
      <c r="F139" s="6" cm="1">
        <f t="array" ref="F139">_xlfn.XLOOKUP(1,(Лист2!A$2:A$505=A139)*(Лист2!B$2:B$505=B139),Лист2!D$2:D$505)</f>
        <v>20079</v>
      </c>
      <c r="G139" s="6" cm="1">
        <f t="array" ref="G139">_xlfn.XLOOKUP(1,(Лист2!A$2:A$505=A139)*(Лист2!B$2:B$505=B139),Лист2!E$2:E$505)</f>
        <v>18721</v>
      </c>
      <c r="H139">
        <f t="shared" si="4"/>
        <v>294676.536</v>
      </c>
      <c r="I139">
        <f t="shared" si="5"/>
        <v>20</v>
      </c>
    </row>
    <row r="140" ht="14.25" customHeight="1" spans="1:9">
      <c r="A140" s="10">
        <v>43960</v>
      </c>
      <c r="B140" s="11" t="s">
        <v>15</v>
      </c>
      <c r="C140" s="11">
        <v>359214</v>
      </c>
      <c r="D140" s="11">
        <v>38693427</v>
      </c>
      <c r="E140" s="6" cm="1">
        <f t="array" ref="E140">_xlfn.XLOOKUP(1,(Лист2!A$2:A$505=A140)*(Лист2!B$2:B$505=B140),Лист2!C$2:C$505)</f>
        <v>125</v>
      </c>
      <c r="F140" s="6" cm="1">
        <f t="array" ref="F140">_xlfn.XLOOKUP(1,(Лист2!A$2:A$505=A140)*(Лист2!B$2:B$505=B140),Лист2!D$2:D$505)</f>
        <v>20132</v>
      </c>
      <c r="G140" s="6" cm="1">
        <f t="array" ref="G140">_xlfn.XLOOKUP(1,(Лист2!A$2:A$505=A140)*(Лист2!B$2:B$505=B140),Лист2!E$2:E$505)</f>
        <v>18617</v>
      </c>
      <c r="H140">
        <f t="shared" si="4"/>
        <v>309547.416</v>
      </c>
      <c r="I140">
        <f t="shared" si="5"/>
        <v>19</v>
      </c>
    </row>
    <row r="141" ht="14.25" customHeight="1" spans="1:9">
      <c r="A141" s="12">
        <v>43955</v>
      </c>
      <c r="B141" s="13" t="s">
        <v>15</v>
      </c>
      <c r="C141" s="13">
        <v>360255</v>
      </c>
      <c r="D141" s="13">
        <v>38406954</v>
      </c>
      <c r="E141" s="6" cm="1">
        <f t="array" ref="E141">_xlfn.XLOOKUP(1,(Лист2!A$2:A$505=A141)*(Лист2!B$2:B$505=B141),Лист2!C$2:C$505)</f>
        <v>125</v>
      </c>
      <c r="F141" s="6" cm="1">
        <f t="array" ref="F141">_xlfn.XLOOKUP(1,(Лист2!A$2:A$505=A141)*(Лист2!B$2:B$505=B141),Лист2!D$2:D$505)</f>
        <v>20495</v>
      </c>
      <c r="G141" s="6" cm="1">
        <f t="array" ref="G141">_xlfn.XLOOKUP(1,(Лист2!A$2:A$505=A141)*(Лист2!B$2:B$505=B141),Лист2!E$2:E$505)</f>
        <v>18964</v>
      </c>
      <c r="H141">
        <f t="shared" si="4"/>
        <v>307255.632</v>
      </c>
      <c r="I141">
        <f t="shared" si="5"/>
        <v>19</v>
      </c>
    </row>
    <row r="142" ht="14.25" customHeight="1" spans="1:9">
      <c r="A142" s="10">
        <v>43950</v>
      </c>
      <c r="B142" s="11" t="s">
        <v>15</v>
      </c>
      <c r="C142" s="11">
        <v>387220.5</v>
      </c>
      <c r="D142" s="11">
        <v>41559384</v>
      </c>
      <c r="E142" s="6" cm="1">
        <f t="array" ref="E142">_xlfn.XLOOKUP(1,(Лист2!A$2:A$505=A142)*(Лист2!B$2:B$505=B142),Лист2!C$2:C$505)</f>
        <v>125</v>
      </c>
      <c r="F142" s="6" cm="1">
        <f t="array" ref="F142">_xlfn.XLOOKUP(1,(Лист2!A$2:A$505=A142)*(Лист2!B$2:B$505=B142),Лист2!D$2:D$505)</f>
        <v>21863</v>
      </c>
      <c r="G142" s="6" cm="1">
        <f t="array" ref="G142">_xlfn.XLOOKUP(1,(Лист2!A$2:A$505=A142)*(Лист2!B$2:B$505=B142),Лист2!E$2:E$505)</f>
        <v>20160</v>
      </c>
      <c r="H142">
        <f t="shared" si="4"/>
        <v>332475.072</v>
      </c>
      <c r="I142">
        <f t="shared" si="5"/>
        <v>18</v>
      </c>
    </row>
    <row r="143" ht="14.25" customHeight="1" spans="1:9">
      <c r="A143" s="12">
        <v>43953</v>
      </c>
      <c r="B143" s="13" t="s">
        <v>15</v>
      </c>
      <c r="C143" s="13">
        <v>296580</v>
      </c>
      <c r="D143" s="13">
        <v>31843737</v>
      </c>
      <c r="E143" s="6" cm="1">
        <f t="array" ref="E143">_xlfn.XLOOKUP(1,(Лист2!A$2:A$505=A143)*(Лист2!B$2:B$505=B143),Лист2!C$2:C$505)</f>
        <v>125</v>
      </c>
      <c r="F143" s="6" cm="1">
        <f t="array" ref="F143">_xlfn.XLOOKUP(1,(Лист2!A$2:A$505=A143)*(Лист2!B$2:B$505=B143),Лист2!D$2:D$505)</f>
        <v>16932</v>
      </c>
      <c r="G143" s="6" cm="1">
        <f t="array" ref="G143">_xlfn.XLOOKUP(1,(Лист2!A$2:A$505=A143)*(Лист2!B$2:B$505=B143),Лист2!E$2:E$505)</f>
        <v>15601</v>
      </c>
      <c r="H143">
        <f t="shared" si="4"/>
        <v>254749.896</v>
      </c>
      <c r="I143">
        <f t="shared" si="5"/>
        <v>18</v>
      </c>
    </row>
    <row r="144" ht="14.25" customHeight="1" spans="1:9">
      <c r="A144" s="10">
        <v>43977</v>
      </c>
      <c r="B144" s="11" t="s">
        <v>15</v>
      </c>
      <c r="C144" s="11">
        <v>369861</v>
      </c>
      <c r="D144" s="11">
        <v>38365960.5</v>
      </c>
      <c r="E144" s="6" cm="1">
        <f t="array" ref="E144">_xlfn.XLOOKUP(1,(Лист2!A$2:A$505=A144)*(Лист2!B$2:B$505=B144),Лист2!C$2:C$505)</f>
        <v>124</v>
      </c>
      <c r="F144" s="6" cm="1">
        <f t="array" ref="F144">_xlfn.XLOOKUP(1,(Лист2!A$2:A$505=A144)*(Лист2!B$2:B$505=B144),Лист2!D$2:D$505)</f>
        <v>21153</v>
      </c>
      <c r="G144" s="6" cm="1">
        <f t="array" ref="G144">_xlfn.XLOOKUP(1,(Лист2!A$2:A$505=A144)*(Лист2!B$2:B$505=B144),Лист2!E$2:E$505)</f>
        <v>19673</v>
      </c>
      <c r="H144">
        <f t="shared" si="4"/>
        <v>309402.907258065</v>
      </c>
      <c r="I144">
        <f t="shared" si="5"/>
        <v>22</v>
      </c>
    </row>
    <row r="145" ht="14.25" customHeight="1" spans="1:9">
      <c r="A145" s="12">
        <v>43952</v>
      </c>
      <c r="B145" s="13" t="s">
        <v>15</v>
      </c>
      <c r="C145" s="13">
        <v>372504</v>
      </c>
      <c r="D145" s="13">
        <v>40077193.5</v>
      </c>
      <c r="E145" s="6" cm="1">
        <f t="array" ref="E145">_xlfn.XLOOKUP(1,(Лист2!A$2:A$505=A145)*(Лист2!B$2:B$505=B145),Лист2!C$2:C$505)</f>
        <v>125</v>
      </c>
      <c r="F145" s="6" cm="1">
        <f t="array" ref="F145">_xlfn.XLOOKUP(1,(Лист2!A$2:A$505=A145)*(Лист2!B$2:B$505=B145),Лист2!D$2:D$505)</f>
        <v>20602</v>
      </c>
      <c r="G145" s="6" cm="1">
        <f t="array" ref="G145">_xlfn.XLOOKUP(1,(Лист2!A$2:A$505=A145)*(Лист2!B$2:B$505=B145),Лист2!E$2:E$505)</f>
        <v>18845</v>
      </c>
      <c r="H145">
        <f t="shared" si="4"/>
        <v>320617.548</v>
      </c>
      <c r="I145">
        <f t="shared" si="5"/>
        <v>18</v>
      </c>
    </row>
    <row r="146" ht="14.25" customHeight="1" spans="1:9">
      <c r="A146" s="10">
        <v>43963</v>
      </c>
      <c r="B146" s="11" t="s">
        <v>15</v>
      </c>
      <c r="C146" s="11">
        <v>373392</v>
      </c>
      <c r="D146" s="11">
        <v>39578577</v>
      </c>
      <c r="E146" s="6" cm="1">
        <f t="array" ref="E146">_xlfn.XLOOKUP(1,(Лист2!A$2:A$505=A146)*(Лист2!B$2:B$505=B146),Лист2!C$2:C$505)</f>
        <v>125</v>
      </c>
      <c r="F146" s="6" cm="1">
        <f t="array" ref="F146">_xlfn.XLOOKUP(1,(Лист2!A$2:A$505=A146)*(Лист2!B$2:B$505=B146),Лист2!D$2:D$505)</f>
        <v>21106</v>
      </c>
      <c r="G146" s="6" cm="1">
        <f t="array" ref="G146">_xlfn.XLOOKUP(1,(Лист2!A$2:A$505=A146)*(Лист2!B$2:B$505=B146),Лист2!E$2:E$505)</f>
        <v>19651</v>
      </c>
      <c r="H146">
        <f t="shared" si="4"/>
        <v>316628.616</v>
      </c>
      <c r="I146">
        <f t="shared" si="5"/>
        <v>20</v>
      </c>
    </row>
    <row r="147" ht="14.25" customHeight="1" spans="1:9">
      <c r="A147" s="12">
        <v>43972</v>
      </c>
      <c r="B147" s="13" t="s">
        <v>15</v>
      </c>
      <c r="C147" s="13">
        <v>378043.5</v>
      </c>
      <c r="D147" s="13">
        <v>37902156.57</v>
      </c>
      <c r="E147" s="6" cm="1">
        <f t="array" ref="E147">_xlfn.XLOOKUP(1,(Лист2!A$2:A$505=A147)*(Лист2!B$2:B$505=B147),Лист2!C$2:C$505)</f>
        <v>125</v>
      </c>
      <c r="F147" s="6" cm="1">
        <f t="array" ref="F147">_xlfn.XLOOKUP(1,(Лист2!A$2:A$505=A147)*(Лист2!B$2:B$505=B147),Лист2!D$2:D$505)</f>
        <v>20911</v>
      </c>
      <c r="G147" s="6" cm="1">
        <f t="array" ref="G147">_xlfn.XLOOKUP(1,(Лист2!A$2:A$505=A147)*(Лист2!B$2:B$505=B147),Лист2!E$2:E$505)</f>
        <v>19358</v>
      </c>
      <c r="H147">
        <f t="shared" si="4"/>
        <v>303217.25256</v>
      </c>
      <c r="I147">
        <f t="shared" si="5"/>
        <v>21</v>
      </c>
    </row>
    <row r="148" ht="14.25" customHeight="1" spans="1:9">
      <c r="A148" s="10">
        <v>43971</v>
      </c>
      <c r="B148" s="11" t="s">
        <v>15</v>
      </c>
      <c r="C148" s="11">
        <v>388668</v>
      </c>
      <c r="D148" s="11">
        <v>39639309</v>
      </c>
      <c r="E148" s="6" cm="1">
        <f t="array" ref="E148">_xlfn.XLOOKUP(1,(Лист2!A$2:A$505=A148)*(Лист2!B$2:B$505=B148),Лист2!C$2:C$505)</f>
        <v>125</v>
      </c>
      <c r="F148" s="6" cm="1">
        <f t="array" ref="F148">_xlfn.XLOOKUP(1,(Лист2!A$2:A$505=A148)*(Лист2!B$2:B$505=B148),Лист2!D$2:D$505)</f>
        <v>21674</v>
      </c>
      <c r="G148" s="6" cm="1">
        <f t="array" ref="G148">_xlfn.XLOOKUP(1,(Лист2!A$2:A$505=A148)*(Лист2!B$2:B$505=B148),Лист2!E$2:E$505)</f>
        <v>20155</v>
      </c>
      <c r="H148">
        <f t="shared" si="4"/>
        <v>317114.472</v>
      </c>
      <c r="I148">
        <f t="shared" si="5"/>
        <v>21</v>
      </c>
    </row>
    <row r="149" ht="14.25" customHeight="1" spans="1:9">
      <c r="A149" s="12">
        <v>43956</v>
      </c>
      <c r="B149" s="13" t="s">
        <v>15</v>
      </c>
      <c r="C149" s="13">
        <v>333792</v>
      </c>
      <c r="D149" s="13">
        <v>35671734</v>
      </c>
      <c r="E149" s="6" cm="1">
        <f t="array" ref="E149">_xlfn.XLOOKUP(1,(Лист2!A$2:A$505=A149)*(Лист2!B$2:B$505=B149),Лист2!C$2:C$505)</f>
        <v>125</v>
      </c>
      <c r="F149" s="6" cm="1">
        <f t="array" ref="F149">_xlfn.XLOOKUP(1,(Лист2!A$2:A$505=A149)*(Лист2!B$2:B$505=B149),Лист2!D$2:D$505)</f>
        <v>18944</v>
      </c>
      <c r="G149" s="6" cm="1">
        <f t="array" ref="G149">_xlfn.XLOOKUP(1,(Лист2!A$2:A$505=A149)*(Лист2!B$2:B$505=B149),Лист2!E$2:E$505)</f>
        <v>17541</v>
      </c>
      <c r="H149">
        <f t="shared" si="4"/>
        <v>285373.872</v>
      </c>
      <c r="I149">
        <f t="shared" si="5"/>
        <v>19</v>
      </c>
    </row>
    <row r="150" ht="14.25" customHeight="1" spans="1:9">
      <c r="A150" s="10">
        <v>43949</v>
      </c>
      <c r="B150" s="11" t="s">
        <v>15</v>
      </c>
      <c r="C150" s="11">
        <v>376060.5</v>
      </c>
      <c r="D150" s="11">
        <v>39918028.5</v>
      </c>
      <c r="E150" s="6" cm="1">
        <f t="array" ref="E150">_xlfn.XLOOKUP(1,(Лист2!A$2:A$505=A150)*(Лист2!B$2:B$505=B150),Лист2!C$2:C$505)</f>
        <v>125</v>
      </c>
      <c r="F150" s="6" cm="1">
        <f t="array" ref="F150">_xlfn.XLOOKUP(1,(Лист2!A$2:A$505=A150)*(Лист2!B$2:B$505=B150),Лист2!D$2:D$505)</f>
        <v>20914</v>
      </c>
      <c r="G150" s="6" cm="1">
        <f t="array" ref="G150">_xlfn.XLOOKUP(1,(Лист2!A$2:A$505=A150)*(Лист2!B$2:B$505=B150),Лист2!E$2:E$505)</f>
        <v>19479</v>
      </c>
      <c r="H150">
        <f t="shared" si="4"/>
        <v>319344.228</v>
      </c>
      <c r="I150">
        <f t="shared" si="5"/>
        <v>18</v>
      </c>
    </row>
    <row r="151" ht="14.25" customHeight="1" spans="1:9">
      <c r="A151" s="12">
        <v>43964</v>
      </c>
      <c r="B151" s="13" t="s">
        <v>15</v>
      </c>
      <c r="C151" s="13">
        <v>350068.5</v>
      </c>
      <c r="D151" s="13">
        <v>37197115.5</v>
      </c>
      <c r="E151" s="6" cm="1">
        <f t="array" ref="E151">_xlfn.XLOOKUP(1,(Лист2!A$2:A$505=A151)*(Лист2!B$2:B$505=B151),Лист2!C$2:C$505)</f>
        <v>125</v>
      </c>
      <c r="F151" s="6" cm="1">
        <f t="array" ref="F151">_xlfn.XLOOKUP(1,(Лист2!A$2:A$505=A151)*(Лист2!B$2:B$505=B151),Лист2!D$2:D$505)</f>
        <v>19965</v>
      </c>
      <c r="G151" s="6" cm="1">
        <f t="array" ref="G151">_xlfn.XLOOKUP(1,(Лист2!A$2:A$505=A151)*(Лист2!B$2:B$505=B151),Лист2!E$2:E$505)</f>
        <v>18573</v>
      </c>
      <c r="H151">
        <f t="shared" si="4"/>
        <v>297576.924</v>
      </c>
      <c r="I151">
        <f t="shared" si="5"/>
        <v>20</v>
      </c>
    </row>
    <row r="152" ht="14.25" customHeight="1" spans="1:9">
      <c r="A152" s="10">
        <v>43982</v>
      </c>
      <c r="B152" s="11" t="s">
        <v>14</v>
      </c>
      <c r="C152" s="11">
        <v>294337.5</v>
      </c>
      <c r="D152" s="11">
        <v>29327766</v>
      </c>
      <c r="E152" s="6" cm="1">
        <f t="array" ref="E152">_xlfn.XLOOKUP(1,(Лист2!A$2:A$505=A152)*(Лист2!B$2:B$505=B152),Лист2!C$2:C$505)</f>
        <v>129</v>
      </c>
      <c r="F152" s="6" cm="1">
        <f t="array" ref="F152">_xlfn.XLOOKUP(1,(Лист2!A$2:A$505=A152)*(Лист2!B$2:B$505=B152),Лист2!D$2:D$505)</f>
        <v>17235</v>
      </c>
      <c r="G152" s="6" cm="1">
        <f t="array" ref="G152">_xlfn.XLOOKUP(1,(Лист2!A$2:A$505=A152)*(Лист2!B$2:B$505=B152),Лист2!E$2:E$505)</f>
        <v>16052</v>
      </c>
      <c r="H152">
        <f t="shared" si="4"/>
        <v>227347.023255814</v>
      </c>
      <c r="I152">
        <f t="shared" si="5"/>
        <v>22</v>
      </c>
    </row>
    <row r="153" ht="14.25" customHeight="1" spans="1:9">
      <c r="A153" s="12">
        <v>43954</v>
      </c>
      <c r="B153" s="13" t="s">
        <v>15</v>
      </c>
      <c r="C153" s="13">
        <v>342666</v>
      </c>
      <c r="D153" s="13">
        <v>36631999.5</v>
      </c>
      <c r="E153" s="6" cm="1">
        <f t="array" ref="E153">_xlfn.XLOOKUP(1,(Лист2!A$2:A$505=A153)*(Лист2!B$2:B$505=B153),Лист2!C$2:C$505)</f>
        <v>125</v>
      </c>
      <c r="F153" s="6" cm="1">
        <f t="array" ref="F153">_xlfn.XLOOKUP(1,(Лист2!A$2:A$505=A153)*(Лист2!B$2:B$505=B153),Лист2!D$2:D$505)</f>
        <v>18861</v>
      </c>
      <c r="G153" s="6" cm="1">
        <f t="array" ref="G153">_xlfn.XLOOKUP(1,(Лист2!A$2:A$505=A153)*(Лист2!B$2:B$505=B153),Лист2!E$2:E$505)</f>
        <v>17420</v>
      </c>
      <c r="H153">
        <f t="shared" si="4"/>
        <v>293055.996</v>
      </c>
      <c r="I153">
        <f t="shared" si="5"/>
        <v>18</v>
      </c>
    </row>
    <row r="154" ht="14.25" customHeight="1" spans="1:9">
      <c r="A154" s="10">
        <v>43981</v>
      </c>
      <c r="B154" s="11" t="s">
        <v>14</v>
      </c>
      <c r="C154" s="11">
        <v>364882.5</v>
      </c>
      <c r="D154" s="11">
        <v>35724493.5</v>
      </c>
      <c r="E154" s="6" cm="1">
        <f t="array" ref="E154">_xlfn.XLOOKUP(1,(Лист2!A$2:A$505=A154)*(Лист2!B$2:B$505=B154),Лист2!C$2:C$505)</f>
        <v>129</v>
      </c>
      <c r="F154" s="6" cm="1">
        <f t="array" ref="F154">_xlfn.XLOOKUP(1,(Лист2!A$2:A$505=A154)*(Лист2!B$2:B$505=B154),Лист2!D$2:D$505)</f>
        <v>20243</v>
      </c>
      <c r="G154" s="6" cm="1">
        <f t="array" ref="G154">_xlfn.XLOOKUP(1,(Лист2!A$2:A$505=A154)*(Лист2!B$2:B$505=B154),Лист2!E$2:E$505)</f>
        <v>18711</v>
      </c>
      <c r="H154">
        <f t="shared" si="4"/>
        <v>276934.058139535</v>
      </c>
      <c r="I154">
        <f t="shared" si="5"/>
        <v>22</v>
      </c>
    </row>
    <row r="155" ht="14.25" customHeight="1" spans="1:9">
      <c r="A155" s="12">
        <v>43957</v>
      </c>
      <c r="B155" s="13" t="s">
        <v>15</v>
      </c>
      <c r="C155" s="13">
        <v>355278</v>
      </c>
      <c r="D155" s="13">
        <v>38092344</v>
      </c>
      <c r="E155" s="6" cm="1">
        <f t="array" ref="E155">_xlfn.XLOOKUP(1,(Лист2!A$2:A$505=A155)*(Лист2!B$2:B$505=B155),Лист2!C$2:C$505)</f>
        <v>125</v>
      </c>
      <c r="F155" s="6" cm="1">
        <f t="array" ref="F155">_xlfn.XLOOKUP(1,(Лист2!A$2:A$505=A155)*(Лист2!B$2:B$505=B155),Лист2!D$2:D$505)</f>
        <v>20218</v>
      </c>
      <c r="G155" s="6" cm="1">
        <f t="array" ref="G155">_xlfn.XLOOKUP(1,(Лист2!A$2:A$505=A155)*(Лист2!B$2:B$505=B155),Лист2!E$2:E$505)</f>
        <v>18647</v>
      </c>
      <c r="H155">
        <f t="shared" si="4"/>
        <v>304738.752</v>
      </c>
      <c r="I155">
        <f t="shared" si="5"/>
        <v>19</v>
      </c>
    </row>
    <row r="156" ht="14.25" customHeight="1" spans="1:9">
      <c r="A156" s="10">
        <v>43974</v>
      </c>
      <c r="B156" s="11" t="s">
        <v>15</v>
      </c>
      <c r="C156" s="11">
        <v>456885</v>
      </c>
      <c r="D156" s="11">
        <v>46408080</v>
      </c>
      <c r="E156" s="6" cm="1">
        <f t="array" ref="E156">_xlfn.XLOOKUP(1,(Лист2!A$2:A$505=A156)*(Лист2!B$2:B$505=B156),Лист2!C$2:C$505)</f>
        <v>125</v>
      </c>
      <c r="F156" s="6" cm="1">
        <f t="array" ref="F156">_xlfn.XLOOKUP(1,(Лист2!A$2:A$505=A156)*(Лист2!B$2:B$505=B156),Лист2!D$2:D$505)</f>
        <v>24574</v>
      </c>
      <c r="G156" s="6" cm="1">
        <f t="array" ref="G156">_xlfn.XLOOKUP(1,(Лист2!A$2:A$505=A156)*(Лист2!B$2:B$505=B156),Лист2!E$2:E$505)</f>
        <v>22609</v>
      </c>
      <c r="H156">
        <f t="shared" si="4"/>
        <v>371264.64</v>
      </c>
      <c r="I156">
        <f t="shared" si="5"/>
        <v>21</v>
      </c>
    </row>
    <row r="157" ht="14.25" customHeight="1" spans="1:9">
      <c r="A157" s="12">
        <v>43979</v>
      </c>
      <c r="B157" s="13" t="s">
        <v>14</v>
      </c>
      <c r="C157" s="13">
        <v>278491.5</v>
      </c>
      <c r="D157" s="13">
        <v>28151004.75</v>
      </c>
      <c r="E157" s="6" cm="1">
        <f t="array" ref="E157">_xlfn.XLOOKUP(1,(Лист2!A$2:A$505=A157)*(Лист2!B$2:B$505=B157),Лист2!C$2:C$505)</f>
        <v>129</v>
      </c>
      <c r="F157" s="6" cm="1">
        <f t="array" ref="F157">_xlfn.XLOOKUP(1,(Лист2!A$2:A$505=A157)*(Лист2!B$2:B$505=B157),Лист2!D$2:D$505)</f>
        <v>16453</v>
      </c>
      <c r="G157" s="6" cm="1">
        <f t="array" ref="G157">_xlfn.XLOOKUP(1,(Лист2!A$2:A$505=A157)*(Лист2!B$2:B$505=B157),Лист2!E$2:E$505)</f>
        <v>15289</v>
      </c>
      <c r="H157">
        <f t="shared" si="4"/>
        <v>218224.843023256</v>
      </c>
      <c r="I157">
        <f t="shared" si="5"/>
        <v>22</v>
      </c>
    </row>
    <row r="158" ht="14.25" customHeight="1" spans="1:9">
      <c r="A158" s="10">
        <v>43976</v>
      </c>
      <c r="B158" s="11" t="s">
        <v>15</v>
      </c>
      <c r="C158" s="11">
        <v>349734</v>
      </c>
      <c r="D158" s="11">
        <v>36883428</v>
      </c>
      <c r="E158" s="6" cm="1">
        <f t="array" ref="E158">_xlfn.XLOOKUP(1,(Лист2!A$2:A$505=A158)*(Лист2!B$2:B$505=B158),Лист2!C$2:C$505)</f>
        <v>124</v>
      </c>
      <c r="F158" s="6" cm="1">
        <f t="array" ref="F158">_xlfn.XLOOKUP(1,(Лист2!A$2:A$505=A158)*(Лист2!B$2:B$505=B158),Лист2!D$2:D$505)</f>
        <v>20358</v>
      </c>
      <c r="G158" s="6" cm="1">
        <f t="array" ref="G158">_xlfn.XLOOKUP(1,(Лист2!A$2:A$505=A158)*(Лист2!B$2:B$505=B158),Лист2!E$2:E$505)</f>
        <v>18890</v>
      </c>
      <c r="H158">
        <f t="shared" si="4"/>
        <v>297447</v>
      </c>
      <c r="I158">
        <f t="shared" si="5"/>
        <v>22</v>
      </c>
    </row>
    <row r="159" ht="14.25" customHeight="1" spans="1:9">
      <c r="A159" s="12">
        <v>43951</v>
      </c>
      <c r="B159" s="13" t="s">
        <v>15</v>
      </c>
      <c r="C159" s="13">
        <v>401580</v>
      </c>
      <c r="D159" s="13">
        <v>43028734.5</v>
      </c>
      <c r="E159" s="6" cm="1">
        <f t="array" ref="E159">_xlfn.XLOOKUP(1,(Лист2!A$2:A$505=A159)*(Лист2!B$2:B$505=B159),Лист2!C$2:C$505)</f>
        <v>125</v>
      </c>
      <c r="F159" s="6" cm="1">
        <f t="array" ref="F159">_xlfn.XLOOKUP(1,(Лист2!A$2:A$505=A159)*(Лист2!B$2:B$505=B159),Лист2!D$2:D$505)</f>
        <v>22368</v>
      </c>
      <c r="G159" s="6" cm="1">
        <f t="array" ref="G159">_xlfn.XLOOKUP(1,(Лист2!A$2:A$505=A159)*(Лист2!B$2:B$505=B159),Лист2!E$2:E$505)</f>
        <v>20625</v>
      </c>
      <c r="H159">
        <f t="shared" si="4"/>
        <v>344229.876</v>
      </c>
      <c r="I159">
        <f t="shared" si="5"/>
        <v>18</v>
      </c>
    </row>
    <row r="160" ht="14.25" customHeight="1" spans="1:9">
      <c r="A160" s="10">
        <v>43961</v>
      </c>
      <c r="B160" s="11" t="s">
        <v>15</v>
      </c>
      <c r="C160" s="11">
        <v>368649</v>
      </c>
      <c r="D160" s="11">
        <v>39010875</v>
      </c>
      <c r="E160" s="6" cm="1">
        <f t="array" ref="E160">_xlfn.XLOOKUP(1,(Лист2!A$2:A$505=A160)*(Лист2!B$2:B$505=B160),Лист2!C$2:C$505)</f>
        <v>125</v>
      </c>
      <c r="F160" s="6" cm="1">
        <f t="array" ref="F160">_xlfn.XLOOKUP(1,(Лист2!A$2:A$505=A160)*(Лист2!B$2:B$505=B160),Лист2!D$2:D$505)</f>
        <v>20368</v>
      </c>
      <c r="G160" s="6" cm="1">
        <f t="array" ref="G160">_xlfn.XLOOKUP(1,(Лист2!A$2:A$505=A160)*(Лист2!B$2:B$505=B160),Лист2!E$2:E$505)</f>
        <v>18884</v>
      </c>
      <c r="H160">
        <f t="shared" si="4"/>
        <v>312087</v>
      </c>
      <c r="I160">
        <f t="shared" si="5"/>
        <v>19</v>
      </c>
    </row>
    <row r="161" ht="14.25" customHeight="1" spans="1:9">
      <c r="A161" s="12">
        <v>43959</v>
      </c>
      <c r="B161" s="13" t="s">
        <v>15</v>
      </c>
      <c r="C161" s="13">
        <v>463530</v>
      </c>
      <c r="D161" s="13">
        <v>49123180.5</v>
      </c>
      <c r="E161" s="6" cm="1">
        <f t="array" ref="E161">_xlfn.XLOOKUP(1,(Лист2!A$2:A$505=A161)*(Лист2!B$2:B$505=B161),Лист2!C$2:C$505)</f>
        <v>125</v>
      </c>
      <c r="F161" s="6" cm="1">
        <f t="array" ref="F161">_xlfn.XLOOKUP(1,(Лист2!A$2:A$505=A161)*(Лист2!B$2:B$505=B161),Лист2!D$2:D$505)</f>
        <v>24620</v>
      </c>
      <c r="G161" s="6" cm="1">
        <f t="array" ref="G161">_xlfn.XLOOKUP(1,(Лист2!A$2:A$505=A161)*(Лист2!B$2:B$505=B161),Лист2!E$2:E$505)</f>
        <v>22641</v>
      </c>
      <c r="H161">
        <f t="shared" si="4"/>
        <v>392985.444</v>
      </c>
      <c r="I161">
        <f t="shared" si="5"/>
        <v>19</v>
      </c>
    </row>
    <row r="162" ht="14.25" customHeight="1" spans="1:9">
      <c r="A162" s="10">
        <v>43958</v>
      </c>
      <c r="B162" s="11" t="s">
        <v>15</v>
      </c>
      <c r="C162" s="11">
        <v>319110</v>
      </c>
      <c r="D162" s="11">
        <v>33763989</v>
      </c>
      <c r="E162" s="6" cm="1">
        <f t="array" ref="E162">_xlfn.XLOOKUP(1,(Лист2!A$2:A$505=A162)*(Лист2!B$2:B$505=B162),Лист2!C$2:C$505)</f>
        <v>125</v>
      </c>
      <c r="F162" s="6" cm="1">
        <f t="array" ref="F162">_xlfn.XLOOKUP(1,(Лист2!A$2:A$505=A162)*(Лист2!B$2:B$505=B162),Лист2!D$2:D$505)</f>
        <v>18014</v>
      </c>
      <c r="G162" s="6" cm="1">
        <f t="array" ref="G162">_xlfn.XLOOKUP(1,(Лист2!A$2:A$505=A162)*(Лист2!B$2:B$505=B162),Лист2!E$2:E$505)</f>
        <v>16675</v>
      </c>
      <c r="H162">
        <f t="shared" si="4"/>
        <v>270111.912</v>
      </c>
      <c r="I162">
        <f t="shared" si="5"/>
        <v>19</v>
      </c>
    </row>
    <row r="163" ht="14.25" customHeight="1" spans="1:9">
      <c r="A163" s="12">
        <v>43975</v>
      </c>
      <c r="B163" s="13" t="s">
        <v>15</v>
      </c>
      <c r="C163" s="13">
        <v>375744</v>
      </c>
      <c r="D163" s="13">
        <v>38191381.5</v>
      </c>
      <c r="E163" s="6" cm="1">
        <f t="array" ref="E163">_xlfn.XLOOKUP(1,(Лист2!A$2:A$505=A163)*(Лист2!B$2:B$505=B163),Лист2!C$2:C$505)</f>
        <v>125</v>
      </c>
      <c r="F163" s="6" cm="1">
        <f t="array" ref="F163">_xlfn.XLOOKUP(1,(Лист2!A$2:A$505=A163)*(Лист2!B$2:B$505=B163),Лист2!D$2:D$505)</f>
        <v>21004</v>
      </c>
      <c r="G163" s="6" cm="1">
        <f t="array" ref="G163">_xlfn.XLOOKUP(1,(Лист2!A$2:A$505=A163)*(Лист2!B$2:B$505=B163),Лист2!E$2:E$505)</f>
        <v>19556</v>
      </c>
      <c r="H163">
        <f t="shared" si="4"/>
        <v>305531.052</v>
      </c>
      <c r="I163">
        <f t="shared" si="5"/>
        <v>21</v>
      </c>
    </row>
    <row r="164" ht="14.25" customHeight="1" spans="1:9">
      <c r="A164" s="10">
        <v>43967</v>
      </c>
      <c r="B164" s="11" t="s">
        <v>16</v>
      </c>
      <c r="C164" s="11">
        <v>81331.5</v>
      </c>
      <c r="D164" s="11">
        <v>6652179</v>
      </c>
      <c r="E164" s="6" cm="1">
        <f t="array" ref="E164">_xlfn.XLOOKUP(1,(Лист2!A$2:A$505=A164)*(Лист2!B$2:B$505=B164),Лист2!C$2:C$505)</f>
        <v>36</v>
      </c>
      <c r="F164" s="6" cm="1">
        <f t="array" ref="F164">_xlfn.XLOOKUP(1,(Лист2!A$2:A$505=A164)*(Лист2!B$2:B$505=B164),Лист2!D$2:D$505)</f>
        <v>5286</v>
      </c>
      <c r="G164" s="6" cm="1">
        <f t="array" ref="G164">_xlfn.XLOOKUP(1,(Лист2!A$2:A$505=A164)*(Лист2!B$2:B$505=B164),Лист2!E$2:E$505)</f>
        <v>4867</v>
      </c>
      <c r="H164">
        <f t="shared" si="4"/>
        <v>184782.75</v>
      </c>
      <c r="I164">
        <f t="shared" si="5"/>
        <v>20</v>
      </c>
    </row>
    <row r="165" ht="14.25" customHeight="1" spans="1:9">
      <c r="A165" s="12">
        <v>43970</v>
      </c>
      <c r="B165" s="13" t="s">
        <v>16</v>
      </c>
      <c r="C165" s="13">
        <v>75796.5</v>
      </c>
      <c r="D165" s="13">
        <v>6173463</v>
      </c>
      <c r="E165" s="6" cm="1">
        <f t="array" ref="E165">_xlfn.XLOOKUP(1,(Лист2!A$2:A$505=A165)*(Лист2!B$2:B$505=B165),Лист2!C$2:C$505)</f>
        <v>36</v>
      </c>
      <c r="F165" s="6" cm="1">
        <f t="array" ref="F165">_xlfn.XLOOKUP(1,(Лист2!A$2:A$505=A165)*(Лист2!B$2:B$505=B165),Лист2!D$2:D$505)</f>
        <v>5094</v>
      </c>
      <c r="G165" s="6" cm="1">
        <f t="array" ref="G165">_xlfn.XLOOKUP(1,(Лист2!A$2:A$505=A165)*(Лист2!B$2:B$505=B165),Лист2!E$2:E$505)</f>
        <v>4716</v>
      </c>
      <c r="H165">
        <f t="shared" si="4"/>
        <v>171485.083333333</v>
      </c>
      <c r="I165">
        <f t="shared" si="5"/>
        <v>21</v>
      </c>
    </row>
    <row r="166" ht="14.25" customHeight="1" spans="1:9">
      <c r="A166" s="10">
        <v>43968</v>
      </c>
      <c r="B166" s="11" t="s">
        <v>16</v>
      </c>
      <c r="C166" s="11">
        <v>72861</v>
      </c>
      <c r="D166" s="11">
        <v>5952802.5</v>
      </c>
      <c r="E166" s="6" cm="1">
        <f t="array" ref="E166">_xlfn.XLOOKUP(1,(Лист2!A$2:A$505=A166)*(Лист2!B$2:B$505=B166),Лист2!C$2:C$505)</f>
        <v>36</v>
      </c>
      <c r="F166" s="6" cm="1">
        <f t="array" ref="F166">_xlfn.XLOOKUP(1,(Лист2!A$2:A$505=A166)*(Лист2!B$2:B$505=B166),Лист2!D$2:D$505)</f>
        <v>4918</v>
      </c>
      <c r="G166" s="6" cm="1">
        <f t="array" ref="G166">_xlfn.XLOOKUP(1,(Лист2!A$2:A$505=A166)*(Лист2!B$2:B$505=B166),Лист2!E$2:E$505)</f>
        <v>4554</v>
      </c>
      <c r="H166">
        <f t="shared" si="4"/>
        <v>165355.625</v>
      </c>
      <c r="I166">
        <f t="shared" si="5"/>
        <v>20</v>
      </c>
    </row>
    <row r="167" ht="14.25" customHeight="1" spans="1:9">
      <c r="A167" s="12">
        <v>43960</v>
      </c>
      <c r="B167" s="13" t="s">
        <v>16</v>
      </c>
      <c r="C167" s="13">
        <v>83373</v>
      </c>
      <c r="D167" s="13">
        <v>7253427</v>
      </c>
      <c r="E167" s="6" cm="1">
        <f t="array" ref="E167">_xlfn.XLOOKUP(1,(Лист2!A$2:A$505=A167)*(Лист2!B$2:B$505=B167),Лист2!C$2:C$505)</f>
        <v>36</v>
      </c>
      <c r="F167" s="6" cm="1">
        <f t="array" ref="F167">_xlfn.XLOOKUP(1,(Лист2!A$2:A$505=A167)*(Лист2!B$2:B$505=B167),Лист2!D$2:D$505)</f>
        <v>5413</v>
      </c>
      <c r="G167" s="6" cm="1">
        <f t="array" ref="G167">_xlfn.XLOOKUP(1,(Лист2!A$2:A$505=A167)*(Лист2!B$2:B$505=B167),Лист2!E$2:E$505)</f>
        <v>4959</v>
      </c>
      <c r="H167">
        <f t="shared" si="4"/>
        <v>201484.083333333</v>
      </c>
      <c r="I167">
        <f t="shared" si="5"/>
        <v>19</v>
      </c>
    </row>
    <row r="168" ht="14.25" customHeight="1" spans="1:9">
      <c r="A168" s="10">
        <v>43955</v>
      </c>
      <c r="B168" s="11" t="s">
        <v>16</v>
      </c>
      <c r="C168" s="11">
        <v>64108.5</v>
      </c>
      <c r="D168" s="11">
        <v>5561452.5</v>
      </c>
      <c r="E168" s="6" cm="1">
        <f t="array" ref="E168">_xlfn.XLOOKUP(1,(Лист2!A$2:A$505=A168)*(Лист2!B$2:B$505=B168),Лист2!C$2:C$505)</f>
        <v>36</v>
      </c>
      <c r="F168" s="6" cm="1">
        <f t="array" ref="F168">_xlfn.XLOOKUP(1,(Лист2!A$2:A$505=A168)*(Лист2!B$2:B$505=B168),Лист2!D$2:D$505)</f>
        <v>4508</v>
      </c>
      <c r="G168" s="6" cm="1">
        <f t="array" ref="G168">_xlfn.XLOOKUP(1,(Лист2!A$2:A$505=A168)*(Лист2!B$2:B$505=B168),Лист2!E$2:E$505)</f>
        <v>4149</v>
      </c>
      <c r="H168">
        <f t="shared" si="4"/>
        <v>154484.791666667</v>
      </c>
      <c r="I168">
        <f t="shared" si="5"/>
        <v>19</v>
      </c>
    </row>
    <row r="169" ht="14.25" customHeight="1" spans="1:9">
      <c r="A169" s="12">
        <v>43950</v>
      </c>
      <c r="B169" s="13" t="s">
        <v>16</v>
      </c>
      <c r="C169" s="13">
        <v>74707.5</v>
      </c>
      <c r="D169" s="13">
        <v>6454458</v>
      </c>
      <c r="E169" s="6" cm="1">
        <f t="array" ref="E169">_xlfn.XLOOKUP(1,(Лист2!A$2:A$505=A169)*(Лист2!B$2:B$505=B169),Лист2!C$2:C$505)</f>
        <v>36</v>
      </c>
      <c r="F169" s="6" cm="1">
        <f t="array" ref="F169">_xlfn.XLOOKUP(1,(Лист2!A$2:A$505=A169)*(Лист2!B$2:B$505=B169),Лист2!D$2:D$505)</f>
        <v>4937</v>
      </c>
      <c r="G169" s="6" cm="1">
        <f t="array" ref="G169">_xlfn.XLOOKUP(1,(Лист2!A$2:A$505=A169)*(Лист2!B$2:B$505=B169),Лист2!E$2:E$505)</f>
        <v>4561</v>
      </c>
      <c r="H169">
        <f t="shared" si="4"/>
        <v>179290.5</v>
      </c>
      <c r="I169">
        <f t="shared" si="5"/>
        <v>18</v>
      </c>
    </row>
    <row r="170" ht="14.25" customHeight="1" spans="1:9">
      <c r="A170" s="10">
        <v>43953</v>
      </c>
      <c r="B170" s="11" t="s">
        <v>16</v>
      </c>
      <c r="C170" s="11">
        <v>46216.5</v>
      </c>
      <c r="D170" s="11">
        <v>4118251.5</v>
      </c>
      <c r="E170" s="6" cm="1">
        <f t="array" ref="E170">_xlfn.XLOOKUP(1,(Лист2!A$2:A$505=A170)*(Лист2!B$2:B$505=B170),Лист2!C$2:C$505)</f>
        <v>36</v>
      </c>
      <c r="F170" s="6" cm="1">
        <f t="array" ref="F170">_xlfn.XLOOKUP(1,(Лист2!A$2:A$505=A170)*(Лист2!B$2:B$505=B170),Лист2!D$2:D$505)</f>
        <v>3442</v>
      </c>
      <c r="G170" s="6" cm="1">
        <f t="array" ref="G170">_xlfn.XLOOKUP(1,(Лист2!A$2:A$505=A170)*(Лист2!B$2:B$505=B170),Лист2!E$2:E$505)</f>
        <v>3147</v>
      </c>
      <c r="H170">
        <f t="shared" si="4"/>
        <v>114395.875</v>
      </c>
      <c r="I170">
        <f t="shared" si="5"/>
        <v>18</v>
      </c>
    </row>
    <row r="171" ht="14.25" customHeight="1" spans="1:9">
      <c r="A171" s="12">
        <v>43977</v>
      </c>
      <c r="B171" s="13" t="s">
        <v>16</v>
      </c>
      <c r="C171" s="13">
        <v>67726.5</v>
      </c>
      <c r="D171" s="13">
        <v>5864989.5</v>
      </c>
      <c r="E171" s="6" cm="1">
        <f t="array" ref="E171">_xlfn.XLOOKUP(1,(Лист2!A$2:A$505=A171)*(Лист2!B$2:B$505=B171),Лист2!C$2:C$505)</f>
        <v>36</v>
      </c>
      <c r="F171" s="6" cm="1">
        <f t="array" ref="F171">_xlfn.XLOOKUP(1,(Лист2!A$2:A$505=A171)*(Лист2!B$2:B$505=B171),Лист2!D$2:D$505)</f>
        <v>4770</v>
      </c>
      <c r="G171" s="6" cm="1">
        <f t="array" ref="G171">_xlfn.XLOOKUP(1,(Лист2!A$2:A$505=A171)*(Лист2!B$2:B$505=B171),Лист2!E$2:E$505)</f>
        <v>4424</v>
      </c>
      <c r="H171">
        <f t="shared" si="4"/>
        <v>162916.375</v>
      </c>
      <c r="I171">
        <f t="shared" si="5"/>
        <v>22</v>
      </c>
    </row>
    <row r="172" ht="14.25" customHeight="1" spans="1:9">
      <c r="A172" s="10">
        <v>43952</v>
      </c>
      <c r="B172" s="11" t="s">
        <v>16</v>
      </c>
      <c r="C172" s="11">
        <v>82228.5</v>
      </c>
      <c r="D172" s="11">
        <v>7032225</v>
      </c>
      <c r="E172" s="6" cm="1">
        <f t="array" ref="E172">_xlfn.XLOOKUP(1,(Лист2!A$2:A$505=A172)*(Лист2!B$2:B$505=B172),Лист2!C$2:C$505)</f>
        <v>36</v>
      </c>
      <c r="F172" s="6" cm="1">
        <f t="array" ref="F172">_xlfn.XLOOKUP(1,(Лист2!A$2:A$505=A172)*(Лист2!B$2:B$505=B172),Лист2!D$2:D$505)</f>
        <v>5457</v>
      </c>
      <c r="G172" s="6" cm="1">
        <f t="array" ref="G172">_xlfn.XLOOKUP(1,(Лист2!A$2:A$505=A172)*(Лист2!B$2:B$505=B172),Лист2!E$2:E$505)</f>
        <v>4916</v>
      </c>
      <c r="H172">
        <f t="shared" si="4"/>
        <v>195339.583333333</v>
      </c>
      <c r="I172">
        <f t="shared" si="5"/>
        <v>18</v>
      </c>
    </row>
    <row r="173" ht="14.25" customHeight="1" spans="1:9">
      <c r="A173" s="12">
        <v>43963</v>
      </c>
      <c r="B173" s="13" t="s">
        <v>16</v>
      </c>
      <c r="C173" s="13">
        <v>64390.5</v>
      </c>
      <c r="D173" s="13">
        <v>5523145.5</v>
      </c>
      <c r="E173" s="6" cm="1">
        <f t="array" ref="E173">_xlfn.XLOOKUP(1,(Лист2!A$2:A$505=A173)*(Лист2!B$2:B$505=B173),Лист2!C$2:C$505)</f>
        <v>36</v>
      </c>
      <c r="F173" s="6" cm="1">
        <f t="array" ref="F173">_xlfn.XLOOKUP(1,(Лист2!A$2:A$505=A173)*(Лист2!B$2:B$505=B173),Лист2!D$2:D$505)</f>
        <v>4418</v>
      </c>
      <c r="G173" s="6" cm="1">
        <f t="array" ref="G173">_xlfn.XLOOKUP(1,(Лист2!A$2:A$505=A173)*(Лист2!B$2:B$505=B173),Лист2!E$2:E$505)</f>
        <v>4088</v>
      </c>
      <c r="H173">
        <f t="shared" si="4"/>
        <v>153420.708333333</v>
      </c>
      <c r="I173">
        <f t="shared" si="5"/>
        <v>20</v>
      </c>
    </row>
    <row r="174" ht="14.25" customHeight="1" spans="1:9">
      <c r="A174" s="10">
        <v>43972</v>
      </c>
      <c r="B174" s="11" t="s">
        <v>16</v>
      </c>
      <c r="C174" s="11">
        <v>73126.5</v>
      </c>
      <c r="D174" s="11">
        <v>5864085</v>
      </c>
      <c r="E174" s="6" cm="1">
        <f t="array" ref="E174">_xlfn.XLOOKUP(1,(Лист2!A$2:A$505=A174)*(Лист2!B$2:B$505=B174),Лист2!C$2:C$505)</f>
        <v>36</v>
      </c>
      <c r="F174" s="6" cm="1">
        <f t="array" ref="F174">_xlfn.XLOOKUP(1,(Лист2!A$2:A$505=A174)*(Лист2!B$2:B$505=B174),Лист2!D$2:D$505)</f>
        <v>4816</v>
      </c>
      <c r="G174" s="6" cm="1">
        <f t="array" ref="G174">_xlfn.XLOOKUP(1,(Лист2!A$2:A$505=A174)*(Лист2!B$2:B$505=B174),Лист2!E$2:E$505)</f>
        <v>4452</v>
      </c>
      <c r="H174">
        <f t="shared" si="4"/>
        <v>162891.25</v>
      </c>
      <c r="I174">
        <f t="shared" si="5"/>
        <v>21</v>
      </c>
    </row>
    <row r="175" ht="14.25" customHeight="1" spans="1:9">
      <c r="A175" s="12">
        <v>43971</v>
      </c>
      <c r="B175" s="13" t="s">
        <v>16</v>
      </c>
      <c r="C175" s="13">
        <v>99631.5</v>
      </c>
      <c r="D175" s="13">
        <v>7121946</v>
      </c>
      <c r="E175" s="6" cm="1">
        <f t="array" ref="E175">_xlfn.XLOOKUP(1,(Лист2!A$2:A$505=A175)*(Лист2!B$2:B$505=B175),Лист2!C$2:C$505)</f>
        <v>36</v>
      </c>
      <c r="F175" s="6" cm="1">
        <f t="array" ref="F175">_xlfn.XLOOKUP(1,(Лист2!A$2:A$505=A175)*(Лист2!B$2:B$505=B175),Лист2!D$2:D$505)</f>
        <v>5914</v>
      </c>
      <c r="G175" s="6" cm="1">
        <f t="array" ref="G175">_xlfn.XLOOKUP(1,(Лист2!A$2:A$505=A175)*(Лист2!B$2:B$505=B175),Лист2!E$2:E$505)</f>
        <v>5384</v>
      </c>
      <c r="H175">
        <f t="shared" si="4"/>
        <v>197831.833333333</v>
      </c>
      <c r="I175">
        <f t="shared" si="5"/>
        <v>21</v>
      </c>
    </row>
    <row r="176" ht="14.25" customHeight="1" spans="1:9">
      <c r="A176" s="10">
        <v>43956</v>
      </c>
      <c r="B176" s="11" t="s">
        <v>16</v>
      </c>
      <c r="C176" s="11">
        <v>66396</v>
      </c>
      <c r="D176" s="11">
        <v>5770539</v>
      </c>
      <c r="E176" s="6" cm="1">
        <f t="array" ref="E176">_xlfn.XLOOKUP(1,(Лист2!A$2:A$505=A176)*(Лист2!B$2:B$505=B176),Лист2!C$2:C$505)</f>
        <v>36</v>
      </c>
      <c r="F176" s="6" cm="1">
        <f t="array" ref="F176">_xlfn.XLOOKUP(1,(Лист2!A$2:A$505=A176)*(Лист2!B$2:B$505=B176),Лист2!D$2:D$505)</f>
        <v>4575</v>
      </c>
      <c r="G176" s="6" cm="1">
        <f t="array" ref="G176">_xlfn.XLOOKUP(1,(Лист2!A$2:A$505=A176)*(Лист2!B$2:B$505=B176),Лист2!E$2:E$505)</f>
        <v>4206</v>
      </c>
      <c r="H176">
        <f t="shared" si="4"/>
        <v>160292.75</v>
      </c>
      <c r="I176">
        <f t="shared" si="5"/>
        <v>19</v>
      </c>
    </row>
    <row r="177" ht="14.25" customHeight="1" spans="1:9">
      <c r="A177" s="12">
        <v>43949</v>
      </c>
      <c r="B177" s="13" t="s">
        <v>16</v>
      </c>
      <c r="C177" s="13">
        <v>73147.5</v>
      </c>
      <c r="D177" s="13">
        <v>6288246</v>
      </c>
      <c r="E177" s="6" cm="1">
        <f t="array" ref="E177">_xlfn.XLOOKUP(1,(Лист2!A$2:A$505=A177)*(Лист2!B$2:B$505=B177),Лист2!C$2:C$505)</f>
        <v>36</v>
      </c>
      <c r="F177" s="6" cm="1">
        <f t="array" ref="F177">_xlfn.XLOOKUP(1,(Лист2!A$2:A$505=A177)*(Лист2!B$2:B$505=B177),Лист2!D$2:D$505)</f>
        <v>4923</v>
      </c>
      <c r="G177" s="6" cm="1">
        <f t="array" ref="G177">_xlfn.XLOOKUP(1,(Лист2!A$2:A$505=A177)*(Лист2!B$2:B$505=B177),Лист2!E$2:E$505)</f>
        <v>4560</v>
      </c>
      <c r="H177">
        <f t="shared" si="4"/>
        <v>174673.5</v>
      </c>
      <c r="I177">
        <f t="shared" si="5"/>
        <v>18</v>
      </c>
    </row>
    <row r="178" ht="14.25" customHeight="1" spans="1:9">
      <c r="A178" s="10">
        <v>43964</v>
      </c>
      <c r="B178" s="11" t="s">
        <v>16</v>
      </c>
      <c r="C178" s="11">
        <v>73062</v>
      </c>
      <c r="D178" s="11">
        <v>6333828</v>
      </c>
      <c r="E178" s="6" cm="1">
        <f t="array" ref="E178">_xlfn.XLOOKUP(1,(Лист2!A$2:A$505=A178)*(Лист2!B$2:B$505=B178),Лист2!C$2:C$505)</f>
        <v>36</v>
      </c>
      <c r="F178" s="6" cm="1">
        <f t="array" ref="F178">_xlfn.XLOOKUP(1,(Лист2!A$2:A$505=A178)*(Лист2!B$2:B$505=B178),Лист2!D$2:D$505)</f>
        <v>4967</v>
      </c>
      <c r="G178" s="6" cm="1">
        <f t="array" ref="G178">_xlfn.XLOOKUP(1,(Лист2!A$2:A$505=A178)*(Лист2!B$2:B$505=B178),Лист2!E$2:E$505)</f>
        <v>4583</v>
      </c>
      <c r="H178">
        <f t="shared" si="4"/>
        <v>175939.666666667</v>
      </c>
      <c r="I178">
        <f t="shared" si="5"/>
        <v>20</v>
      </c>
    </row>
    <row r="179" ht="14.25" customHeight="1" spans="1:9">
      <c r="A179" s="12">
        <v>43982</v>
      </c>
      <c r="B179" s="13" t="s">
        <v>15</v>
      </c>
      <c r="C179" s="13">
        <v>379663.5</v>
      </c>
      <c r="D179" s="13">
        <v>39380178</v>
      </c>
      <c r="E179" s="6" cm="1">
        <f t="array" ref="E179">_xlfn.XLOOKUP(1,(Лист2!A$2:A$505=A179)*(Лист2!B$2:B$505=B179),Лист2!C$2:C$505)</f>
        <v>124</v>
      </c>
      <c r="F179" s="6" cm="1">
        <f t="array" ref="F179">_xlfn.XLOOKUP(1,(Лист2!A$2:A$505=A179)*(Лист2!B$2:B$505=B179),Лист2!D$2:D$505)</f>
        <v>21392</v>
      </c>
      <c r="G179" s="6" cm="1">
        <f t="array" ref="G179">_xlfn.XLOOKUP(1,(Лист2!A$2:A$505=A179)*(Лист2!B$2:B$505=B179),Лист2!E$2:E$505)</f>
        <v>19869</v>
      </c>
      <c r="H179">
        <f t="shared" si="4"/>
        <v>317582.080645161</v>
      </c>
      <c r="I179">
        <f t="shared" si="5"/>
        <v>22</v>
      </c>
    </row>
    <row r="180" ht="14.25" customHeight="1" spans="1:9">
      <c r="A180" s="10">
        <v>43954</v>
      </c>
      <c r="B180" s="11" t="s">
        <v>16</v>
      </c>
      <c r="C180" s="11">
        <v>70581</v>
      </c>
      <c r="D180" s="11">
        <v>6221320.5</v>
      </c>
      <c r="E180" s="6" cm="1">
        <f t="array" ref="E180">_xlfn.XLOOKUP(1,(Лист2!A$2:A$505=A180)*(Лист2!B$2:B$505=B180),Лист2!C$2:C$505)</f>
        <v>36</v>
      </c>
      <c r="F180" s="6" cm="1">
        <f t="array" ref="F180">_xlfn.XLOOKUP(1,(Лист2!A$2:A$505=A180)*(Лист2!B$2:B$505=B180),Лист2!D$2:D$505)</f>
        <v>4751</v>
      </c>
      <c r="G180" s="6" cm="1">
        <f t="array" ref="G180">_xlfn.XLOOKUP(1,(Лист2!A$2:A$505=A180)*(Лист2!B$2:B$505=B180),Лист2!E$2:E$505)</f>
        <v>4370</v>
      </c>
      <c r="H180">
        <f t="shared" si="4"/>
        <v>172814.458333333</v>
      </c>
      <c r="I180">
        <f t="shared" si="5"/>
        <v>18</v>
      </c>
    </row>
    <row r="181" ht="14.25" customHeight="1" spans="1:9">
      <c r="A181" s="12">
        <v>43981</v>
      </c>
      <c r="B181" s="13" t="s">
        <v>15</v>
      </c>
      <c r="C181" s="13">
        <v>453123</v>
      </c>
      <c r="D181" s="13">
        <v>46370904</v>
      </c>
      <c r="E181" s="6" cm="1">
        <f t="array" ref="E181">_xlfn.XLOOKUP(1,(Лист2!A$2:A$505=A181)*(Лист2!B$2:B$505=B181),Лист2!C$2:C$505)</f>
        <v>124</v>
      </c>
      <c r="F181" s="6" cm="1">
        <f t="array" ref="F181">_xlfn.XLOOKUP(1,(Лист2!A$2:A$505=A181)*(Лист2!B$2:B$505=B181),Лист2!D$2:D$505)</f>
        <v>24325</v>
      </c>
      <c r="G181" s="6" cm="1">
        <f t="array" ref="G181">_xlfn.XLOOKUP(1,(Лист2!A$2:A$505=A181)*(Лист2!B$2:B$505=B181),Лист2!E$2:E$505)</f>
        <v>22469</v>
      </c>
      <c r="H181">
        <f t="shared" si="4"/>
        <v>373958.903225806</v>
      </c>
      <c r="I181">
        <f t="shared" si="5"/>
        <v>22</v>
      </c>
    </row>
    <row r="182" ht="14.25" customHeight="1" spans="1:9">
      <c r="A182" s="10">
        <v>43957</v>
      </c>
      <c r="B182" s="11" t="s">
        <v>16</v>
      </c>
      <c r="C182" s="11">
        <v>63012</v>
      </c>
      <c r="D182" s="11">
        <v>5454121.5</v>
      </c>
      <c r="E182" s="6" cm="1">
        <f t="array" ref="E182">_xlfn.XLOOKUP(1,(Лист2!A$2:A$505=A182)*(Лист2!B$2:B$505=B182),Лист2!C$2:C$505)</f>
        <v>36</v>
      </c>
      <c r="F182" s="6" cm="1">
        <f t="array" ref="F182">_xlfn.XLOOKUP(1,(Лист2!A$2:A$505=A182)*(Лист2!B$2:B$505=B182),Лист2!D$2:D$505)</f>
        <v>4384</v>
      </c>
      <c r="G182" s="6" cm="1">
        <f t="array" ref="G182">_xlfn.XLOOKUP(1,(Лист2!A$2:A$505=A182)*(Лист2!B$2:B$505=B182),Лист2!E$2:E$505)</f>
        <v>4025</v>
      </c>
      <c r="H182">
        <f t="shared" si="4"/>
        <v>151503.375</v>
      </c>
      <c r="I182">
        <f t="shared" si="5"/>
        <v>19</v>
      </c>
    </row>
    <row r="183" ht="14.25" customHeight="1" spans="1:9">
      <c r="A183" s="12">
        <v>43974</v>
      </c>
      <c r="B183" s="13" t="s">
        <v>16</v>
      </c>
      <c r="C183" s="13">
        <v>89556</v>
      </c>
      <c r="D183" s="13">
        <v>7173117</v>
      </c>
      <c r="E183" s="6" cm="1">
        <f t="array" ref="E183">_xlfn.XLOOKUP(1,(Лист2!A$2:A$505=A183)*(Лист2!B$2:B$505=B183),Лист2!C$2:C$505)</f>
        <v>36</v>
      </c>
      <c r="F183" s="6" cm="1">
        <f t="array" ref="F183">_xlfn.XLOOKUP(1,(Лист2!A$2:A$505=A183)*(Лист2!B$2:B$505=B183),Лист2!D$2:D$505)</f>
        <v>5651</v>
      </c>
      <c r="G183" s="6" cm="1">
        <f t="array" ref="G183">_xlfn.XLOOKUP(1,(Лист2!A$2:A$505=A183)*(Лист2!B$2:B$505=B183),Лист2!E$2:E$505)</f>
        <v>5212</v>
      </c>
      <c r="H183">
        <f t="shared" si="4"/>
        <v>199253.25</v>
      </c>
      <c r="I183">
        <f t="shared" si="5"/>
        <v>21</v>
      </c>
    </row>
    <row r="184" ht="14.25" customHeight="1" spans="1:9">
      <c r="A184" s="10">
        <v>43979</v>
      </c>
      <c r="B184" s="11" t="s">
        <v>15</v>
      </c>
      <c r="C184" s="11">
        <v>364638</v>
      </c>
      <c r="D184" s="11">
        <v>37947688.5</v>
      </c>
      <c r="E184" s="6" cm="1">
        <f t="array" ref="E184">_xlfn.XLOOKUP(1,(Лист2!A$2:A$505=A184)*(Лист2!B$2:B$505=B184),Лист2!C$2:C$505)</f>
        <v>124</v>
      </c>
      <c r="F184" s="6" cm="1">
        <f t="array" ref="F184">_xlfn.XLOOKUP(1,(Лист2!A$2:A$505=A184)*(Лист2!B$2:B$505=B184),Лист2!D$2:D$505)</f>
        <v>20868</v>
      </c>
      <c r="G184" s="6" cm="1">
        <f t="array" ref="G184">_xlfn.XLOOKUP(1,(Лист2!A$2:A$505=A184)*(Лист2!B$2:B$505=B184),Лист2!E$2:E$505)</f>
        <v>19342</v>
      </c>
      <c r="H184">
        <f t="shared" si="4"/>
        <v>306029.745967742</v>
      </c>
      <c r="I184">
        <f t="shared" si="5"/>
        <v>22</v>
      </c>
    </row>
    <row r="185" ht="14.25" customHeight="1" spans="1:9">
      <c r="A185" s="12">
        <v>43976</v>
      </c>
      <c r="B185" s="13" t="s">
        <v>16</v>
      </c>
      <c r="C185" s="13">
        <v>66316.5</v>
      </c>
      <c r="D185" s="13">
        <v>5704650</v>
      </c>
      <c r="E185" s="6" cm="1">
        <f t="array" ref="E185">_xlfn.XLOOKUP(1,(Лист2!A$2:A$505=A185)*(Лист2!B$2:B$505=B185),Лист2!C$2:C$505)</f>
        <v>36</v>
      </c>
      <c r="F185" s="6" cm="1">
        <f t="array" ref="F185">_xlfn.XLOOKUP(1,(Лист2!A$2:A$505=A185)*(Лист2!B$2:B$505=B185),Лист2!D$2:D$505)</f>
        <v>4641</v>
      </c>
      <c r="G185" s="6" cm="1">
        <f t="array" ref="G185">_xlfn.XLOOKUP(1,(Лист2!A$2:A$505=A185)*(Лист2!B$2:B$505=B185),Лист2!E$2:E$505)</f>
        <v>4274</v>
      </c>
      <c r="H185">
        <f t="shared" si="4"/>
        <v>158462.5</v>
      </c>
      <c r="I185">
        <f t="shared" si="5"/>
        <v>22</v>
      </c>
    </row>
    <row r="186" ht="14.25" customHeight="1" spans="1:9">
      <c r="A186" s="10">
        <v>43951</v>
      </c>
      <c r="B186" s="11" t="s">
        <v>16</v>
      </c>
      <c r="C186" s="11">
        <v>78235.5</v>
      </c>
      <c r="D186" s="11">
        <v>6819594</v>
      </c>
      <c r="E186" s="6" cm="1">
        <f t="array" ref="E186">_xlfn.XLOOKUP(1,(Лист2!A$2:A$505=A186)*(Лист2!B$2:B$505=B186),Лист2!C$2:C$505)</f>
        <v>36</v>
      </c>
      <c r="F186" s="6" cm="1">
        <f t="array" ref="F186">_xlfn.XLOOKUP(1,(Лист2!A$2:A$505=A186)*(Лист2!B$2:B$505=B186),Лист2!D$2:D$505)</f>
        <v>5143</v>
      </c>
      <c r="G186" s="6" cm="1">
        <f t="array" ref="G186">_xlfn.XLOOKUP(1,(Лист2!A$2:A$505=A186)*(Лист2!B$2:B$505=B186),Лист2!E$2:E$505)</f>
        <v>4715</v>
      </c>
      <c r="H186">
        <f t="shared" si="4"/>
        <v>189433.166666667</v>
      </c>
      <c r="I186">
        <f t="shared" si="5"/>
        <v>18</v>
      </c>
    </row>
    <row r="187" ht="14.25" customHeight="1" spans="1:9">
      <c r="A187" s="12">
        <v>43961</v>
      </c>
      <c r="B187" s="13" t="s">
        <v>16</v>
      </c>
      <c r="C187" s="13">
        <v>88311</v>
      </c>
      <c r="D187" s="13">
        <v>7726069.5</v>
      </c>
      <c r="E187" s="6" cm="1">
        <f t="array" ref="E187">_xlfn.XLOOKUP(1,(Лист2!A$2:A$505=A187)*(Лист2!B$2:B$505=B187),Лист2!C$2:C$505)</f>
        <v>36</v>
      </c>
      <c r="F187" s="6" cm="1">
        <f t="array" ref="F187">_xlfn.XLOOKUP(1,(Лист2!A$2:A$505=A187)*(Лист2!B$2:B$505=B187),Лист2!D$2:D$505)</f>
        <v>5746</v>
      </c>
      <c r="G187" s="6" cm="1">
        <f t="array" ref="G187">_xlfn.XLOOKUP(1,(Лист2!A$2:A$505=A187)*(Лист2!B$2:B$505=B187),Лист2!E$2:E$505)</f>
        <v>5277</v>
      </c>
      <c r="H187">
        <f t="shared" si="4"/>
        <v>214613.041666667</v>
      </c>
      <c r="I187">
        <f t="shared" si="5"/>
        <v>19</v>
      </c>
    </row>
    <row r="188" ht="14.25" customHeight="1" spans="1:9">
      <c r="A188" s="10">
        <v>43959</v>
      </c>
      <c r="B188" s="11" t="s">
        <v>16</v>
      </c>
      <c r="C188" s="11">
        <v>61804.5</v>
      </c>
      <c r="D188" s="11">
        <v>5365708.5</v>
      </c>
      <c r="E188" s="6" cm="1">
        <f t="array" ref="E188">_xlfn.XLOOKUP(1,(Лист2!A$2:A$505=A188)*(Лист2!B$2:B$505=B188),Лист2!C$2:C$505)</f>
        <v>36</v>
      </c>
      <c r="F188" s="6" cm="1">
        <f t="array" ref="F188">_xlfn.XLOOKUP(1,(Лист2!A$2:A$505=A188)*(Лист2!B$2:B$505=B188),Лист2!D$2:D$505)</f>
        <v>4199</v>
      </c>
      <c r="G188" s="6" cm="1">
        <f t="array" ref="G188">_xlfn.XLOOKUP(1,(Лист2!A$2:A$505=A188)*(Лист2!B$2:B$505=B188),Лист2!E$2:E$505)</f>
        <v>3867</v>
      </c>
      <c r="H188">
        <f t="shared" si="4"/>
        <v>149047.458333333</v>
      </c>
      <c r="I188">
        <f t="shared" si="5"/>
        <v>19</v>
      </c>
    </row>
    <row r="189" ht="14.25" customHeight="1" spans="1:9">
      <c r="A189" s="12">
        <v>43958</v>
      </c>
      <c r="B189" s="13" t="s">
        <v>16</v>
      </c>
      <c r="C189" s="13">
        <v>71067</v>
      </c>
      <c r="D189" s="13">
        <v>6175837.5</v>
      </c>
      <c r="E189" s="6" cm="1">
        <f t="array" ref="E189">_xlfn.XLOOKUP(1,(Лист2!A$2:A$505=A189)*(Лист2!B$2:B$505=B189),Лист2!C$2:C$505)</f>
        <v>36</v>
      </c>
      <c r="F189" s="6" cm="1">
        <f t="array" ref="F189">_xlfn.XLOOKUP(1,(Лист2!A$2:A$505=A189)*(Лист2!B$2:B$505=B189),Лист2!D$2:D$505)</f>
        <v>4826</v>
      </c>
      <c r="G189" s="6" cm="1">
        <f t="array" ref="G189">_xlfn.XLOOKUP(1,(Лист2!A$2:A$505=A189)*(Лист2!B$2:B$505=B189),Лист2!E$2:E$505)</f>
        <v>4426</v>
      </c>
      <c r="H189">
        <f t="shared" si="4"/>
        <v>171551.041666667</v>
      </c>
      <c r="I189">
        <f t="shared" si="5"/>
        <v>19</v>
      </c>
    </row>
    <row r="190" ht="14.25" customHeight="1" spans="1:9">
      <c r="A190" s="10">
        <v>43975</v>
      </c>
      <c r="B190" s="11" t="s">
        <v>16</v>
      </c>
      <c r="C190" s="11">
        <v>74649</v>
      </c>
      <c r="D190" s="11">
        <v>6098236.5</v>
      </c>
      <c r="E190" s="6" cm="1">
        <f t="array" ref="E190">_xlfn.XLOOKUP(1,(Лист2!A$2:A$505=A190)*(Лист2!B$2:B$505=B190),Лист2!C$2:C$505)</f>
        <v>36</v>
      </c>
      <c r="F190" s="6" cm="1">
        <f t="array" ref="F190">_xlfn.XLOOKUP(1,(Лист2!A$2:A$505=A190)*(Лист2!B$2:B$505=B190),Лист2!D$2:D$505)</f>
        <v>4915</v>
      </c>
      <c r="G190" s="6" cm="1">
        <f t="array" ref="G190">_xlfn.XLOOKUP(1,(Лист2!A$2:A$505=A190)*(Лист2!B$2:B$505=B190),Лист2!E$2:E$505)</f>
        <v>4562</v>
      </c>
      <c r="H190">
        <f t="shared" si="4"/>
        <v>169395.458333333</v>
      </c>
      <c r="I190">
        <f t="shared" si="5"/>
        <v>21</v>
      </c>
    </row>
    <row r="191" ht="14.25" customHeight="1" spans="1:9">
      <c r="A191" s="12">
        <v>43967</v>
      </c>
      <c r="B191" s="13" t="s">
        <v>17</v>
      </c>
      <c r="C191" s="13">
        <v>44560.5</v>
      </c>
      <c r="D191" s="13">
        <v>4025148</v>
      </c>
      <c r="E191" s="6" cm="1">
        <f t="array" ref="E191">_xlfn.XLOOKUP(1,(Лист2!A$2:A$505=A191)*(Лист2!B$2:B$505=B191),Лист2!C$2:C$505)</f>
        <v>21</v>
      </c>
      <c r="F191" s="6" cm="1">
        <f t="array" ref="F191">_xlfn.XLOOKUP(1,(Лист2!A$2:A$505=A191)*(Лист2!B$2:B$505=B191),Лист2!D$2:D$505)</f>
        <v>2427</v>
      </c>
      <c r="G191" s="6" cm="1">
        <f t="array" ref="G191">_xlfn.XLOOKUP(1,(Лист2!A$2:A$505=A191)*(Лист2!B$2:B$505=B191),Лист2!E$2:E$505)</f>
        <v>2213</v>
      </c>
      <c r="H191">
        <f t="shared" si="4"/>
        <v>191673.714285714</v>
      </c>
      <c r="I191">
        <f t="shared" si="5"/>
        <v>20</v>
      </c>
    </row>
    <row r="192" ht="14.25" customHeight="1" spans="1:9">
      <c r="A192" s="10">
        <v>43970</v>
      </c>
      <c r="B192" s="11" t="s">
        <v>17</v>
      </c>
      <c r="C192" s="11">
        <v>38250</v>
      </c>
      <c r="D192" s="11">
        <v>3552937.5</v>
      </c>
      <c r="E192" s="6" cm="1">
        <f t="array" ref="E192">_xlfn.XLOOKUP(1,(Лист2!A$2:A$505=A192)*(Лист2!B$2:B$505=B192),Лист2!C$2:C$505)</f>
        <v>21</v>
      </c>
      <c r="F192" s="6" cm="1">
        <f t="array" ref="F192">_xlfn.XLOOKUP(1,(Лист2!A$2:A$505=A192)*(Лист2!B$2:B$505=B192),Лист2!D$2:D$505)</f>
        <v>2245</v>
      </c>
      <c r="G192" s="6" cm="1">
        <f t="array" ref="G192">_xlfn.XLOOKUP(1,(Лист2!A$2:A$505=A192)*(Лист2!B$2:B$505=B192),Лист2!E$2:E$505)</f>
        <v>2053</v>
      </c>
      <c r="H192">
        <f t="shared" si="4"/>
        <v>169187.5</v>
      </c>
      <c r="I192">
        <f t="shared" si="5"/>
        <v>21</v>
      </c>
    </row>
    <row r="193" ht="14.25" customHeight="1" spans="1:9">
      <c r="A193" s="12">
        <v>43968</v>
      </c>
      <c r="B193" s="13" t="s">
        <v>17</v>
      </c>
      <c r="C193" s="13">
        <v>34830</v>
      </c>
      <c r="D193" s="13">
        <v>3191155.5</v>
      </c>
      <c r="E193" s="6" cm="1">
        <f t="array" ref="E193">_xlfn.XLOOKUP(1,(Лист2!A$2:A$505=A193)*(Лист2!B$2:B$505=B193),Лист2!C$2:C$505)</f>
        <v>21</v>
      </c>
      <c r="F193" s="6" cm="1">
        <f t="array" ref="F193">_xlfn.XLOOKUP(1,(Лист2!A$2:A$505=A193)*(Лист2!B$2:B$505=B193),Лист2!D$2:D$505)</f>
        <v>2054</v>
      </c>
      <c r="G193" s="6" cm="1">
        <f t="array" ref="G193">_xlfn.XLOOKUP(1,(Лист2!A$2:A$505=A193)*(Лист2!B$2:B$505=B193),Лист2!E$2:E$505)</f>
        <v>1883</v>
      </c>
      <c r="H193">
        <f t="shared" si="4"/>
        <v>151959.785714286</v>
      </c>
      <c r="I193">
        <f t="shared" si="5"/>
        <v>20</v>
      </c>
    </row>
    <row r="194" ht="14.25" customHeight="1" spans="1:9">
      <c r="A194" s="10">
        <v>43960</v>
      </c>
      <c r="B194" s="11" t="s">
        <v>17</v>
      </c>
      <c r="C194" s="11">
        <v>32239.5</v>
      </c>
      <c r="D194" s="11">
        <v>3084892.5</v>
      </c>
      <c r="E194" s="6" cm="1">
        <f t="array" ref="E194">_xlfn.XLOOKUP(1,(Лист2!A$2:A$505=A194)*(Лист2!B$2:B$505=B194),Лист2!C$2:C$505)</f>
        <v>21</v>
      </c>
      <c r="F194" s="6" cm="1">
        <f t="array" ref="F194">_xlfn.XLOOKUP(1,(Лист2!A$2:A$505=A194)*(Лист2!B$2:B$505=B194),Лист2!D$2:D$505)</f>
        <v>1891</v>
      </c>
      <c r="G194" s="6" cm="1">
        <f t="array" ref="G194">_xlfn.XLOOKUP(1,(Лист2!A$2:A$505=A194)*(Лист2!B$2:B$505=B194),Лист2!E$2:E$505)</f>
        <v>1709</v>
      </c>
      <c r="H194">
        <f t="shared" si="4"/>
        <v>146899.642857143</v>
      </c>
      <c r="I194">
        <f t="shared" si="5"/>
        <v>19</v>
      </c>
    </row>
    <row r="195" ht="14.25" customHeight="1" spans="1:9">
      <c r="A195" s="12">
        <v>43955</v>
      </c>
      <c r="B195" s="13" t="s">
        <v>17</v>
      </c>
      <c r="C195" s="13">
        <v>30780</v>
      </c>
      <c r="D195" s="13">
        <v>2817853.5</v>
      </c>
      <c r="E195" s="6" cm="1">
        <f t="array" ref="E195">_xlfn.XLOOKUP(1,(Лист2!A$2:A$505=A195)*(Лист2!B$2:B$505=B195),Лист2!C$2:C$505)</f>
        <v>20</v>
      </c>
      <c r="F195" s="6" cm="1">
        <f t="array" ref="F195">_xlfn.XLOOKUP(1,(Лист2!A$2:A$505=A195)*(Лист2!B$2:B$505=B195),Лист2!D$2:D$505)</f>
        <v>1804</v>
      </c>
      <c r="G195" s="6" cm="1">
        <f t="array" ref="G195">_xlfn.XLOOKUP(1,(Лист2!A$2:A$505=A195)*(Лист2!B$2:B$505=B195),Лист2!E$2:E$505)</f>
        <v>1638</v>
      </c>
      <c r="H195">
        <f t="shared" ref="H195:H258" si="6">D195/E195</f>
        <v>140892.675</v>
      </c>
      <c r="I195">
        <f t="shared" ref="I195:I258" si="7">WEEKNUM(A195,2)</f>
        <v>19</v>
      </c>
    </row>
    <row r="196" ht="14.25" customHeight="1" spans="1:9">
      <c r="A196" s="10">
        <v>43950</v>
      </c>
      <c r="B196" s="11" t="s">
        <v>17</v>
      </c>
      <c r="C196" s="11">
        <v>29142</v>
      </c>
      <c r="D196" s="11">
        <v>2627595</v>
      </c>
      <c r="E196" s="6" cm="1">
        <f t="array" ref="E196">_xlfn.XLOOKUP(1,(Лист2!A$2:A$505=A196)*(Лист2!B$2:B$505=B196),Лист2!C$2:C$505)</f>
        <v>19</v>
      </c>
      <c r="F196" s="6" cm="1">
        <f t="array" ref="F196">_xlfn.XLOOKUP(1,(Лист2!A$2:A$505=A196)*(Лист2!B$2:B$505=B196),Лист2!D$2:D$505)</f>
        <v>1676</v>
      </c>
      <c r="G196" s="6" cm="1">
        <f t="array" ref="G196">_xlfn.XLOOKUP(1,(Лист2!A$2:A$505=A196)*(Лист2!B$2:B$505=B196),Лист2!E$2:E$505)</f>
        <v>1516</v>
      </c>
      <c r="H196">
        <f t="shared" si="6"/>
        <v>138294.473684211</v>
      </c>
      <c r="I196">
        <f t="shared" si="7"/>
        <v>18</v>
      </c>
    </row>
    <row r="197" ht="14.25" customHeight="1" spans="1:9">
      <c r="A197" s="12">
        <v>43953</v>
      </c>
      <c r="B197" s="13" t="s">
        <v>17</v>
      </c>
      <c r="C197" s="13">
        <v>26428.5</v>
      </c>
      <c r="D197" s="13">
        <v>2470465.5</v>
      </c>
      <c r="E197" s="6" cm="1">
        <f t="array" ref="E197">_xlfn.XLOOKUP(1,(Лист2!A$2:A$505=A197)*(Лист2!B$2:B$505=B197),Лист2!C$2:C$505)</f>
        <v>20</v>
      </c>
      <c r="F197" s="6" cm="1">
        <f t="array" ref="F197">_xlfn.XLOOKUP(1,(Лист2!A$2:A$505=A197)*(Лист2!B$2:B$505=B197),Лист2!D$2:D$505)</f>
        <v>1613</v>
      </c>
      <c r="G197" s="6" cm="1">
        <f t="array" ref="G197">_xlfn.XLOOKUP(1,(Лист2!A$2:A$505=A197)*(Лист2!B$2:B$505=B197),Лист2!E$2:E$505)</f>
        <v>1457</v>
      </c>
      <c r="H197">
        <f t="shared" si="6"/>
        <v>123523.275</v>
      </c>
      <c r="I197">
        <f t="shared" si="7"/>
        <v>18</v>
      </c>
    </row>
    <row r="198" ht="14.25" customHeight="1" spans="1:9">
      <c r="A198" s="10">
        <v>43977</v>
      </c>
      <c r="B198" s="11" t="s">
        <v>17</v>
      </c>
      <c r="C198" s="11">
        <v>40744.5</v>
      </c>
      <c r="D198" s="11">
        <v>3700311</v>
      </c>
      <c r="E198" s="6" cm="1">
        <f t="array" ref="E198">_xlfn.XLOOKUP(1,(Лист2!A$2:A$505=A198)*(Лист2!B$2:B$505=B198),Лист2!C$2:C$505)</f>
        <v>21</v>
      </c>
      <c r="F198" s="6" cm="1">
        <f t="array" ref="F198">_xlfn.XLOOKUP(1,(Лист2!A$2:A$505=A198)*(Лист2!B$2:B$505=B198),Лист2!D$2:D$505)</f>
        <v>2418</v>
      </c>
      <c r="G198" s="6" cm="1">
        <f t="array" ref="G198">_xlfn.XLOOKUP(1,(Лист2!A$2:A$505=A198)*(Лист2!B$2:B$505=B198),Лист2!E$2:E$505)</f>
        <v>2215</v>
      </c>
      <c r="H198">
        <f t="shared" si="6"/>
        <v>176205.285714286</v>
      </c>
      <c r="I198">
        <f t="shared" si="7"/>
        <v>22</v>
      </c>
    </row>
    <row r="199" ht="14.25" customHeight="1" spans="1:9">
      <c r="A199" s="12">
        <v>43952</v>
      </c>
      <c r="B199" s="13" t="s">
        <v>17</v>
      </c>
      <c r="C199" s="13">
        <v>46620</v>
      </c>
      <c r="D199" s="13">
        <v>4293241.5</v>
      </c>
      <c r="E199" s="6" cm="1">
        <f t="array" ref="E199">_xlfn.XLOOKUP(1,(Лист2!A$2:A$505=A199)*(Лист2!B$2:B$505=B199),Лист2!C$2:C$505)</f>
        <v>20</v>
      </c>
      <c r="F199" s="6" cm="1">
        <f t="array" ref="F199">_xlfn.XLOOKUP(1,(Лист2!A$2:A$505=A199)*(Лист2!B$2:B$505=B199),Лист2!D$2:D$505)</f>
        <v>2468</v>
      </c>
      <c r="G199" s="6" cm="1">
        <f t="array" ref="G199">_xlfn.XLOOKUP(1,(Лист2!A$2:A$505=A199)*(Лист2!B$2:B$505=B199),Лист2!E$2:E$505)</f>
        <v>2221</v>
      </c>
      <c r="H199">
        <f t="shared" si="6"/>
        <v>214662.075</v>
      </c>
      <c r="I199">
        <f t="shared" si="7"/>
        <v>18</v>
      </c>
    </row>
    <row r="200" ht="14.25" customHeight="1" spans="1:9">
      <c r="A200" s="10">
        <v>43963</v>
      </c>
      <c r="B200" s="11" t="s">
        <v>17</v>
      </c>
      <c r="C200" s="11">
        <v>32419.5</v>
      </c>
      <c r="D200" s="11">
        <v>3080614.5</v>
      </c>
      <c r="E200" s="6" cm="1">
        <f t="array" ref="E200">_xlfn.XLOOKUP(1,(Лист2!A$2:A$505=A200)*(Лист2!B$2:B$505=B200),Лист2!C$2:C$505)</f>
        <v>21</v>
      </c>
      <c r="F200" s="6" cm="1">
        <f t="array" ref="F200">_xlfn.XLOOKUP(1,(Лист2!A$2:A$505=A200)*(Лист2!B$2:B$505=B200),Лист2!D$2:D$505)</f>
        <v>1926</v>
      </c>
      <c r="G200" s="6" cm="1">
        <f t="array" ref="G200">_xlfn.XLOOKUP(1,(Лист2!A$2:A$505=A200)*(Лист2!B$2:B$505=B200),Лист2!E$2:E$505)</f>
        <v>1745</v>
      </c>
      <c r="H200">
        <f t="shared" si="6"/>
        <v>146695.928571429</v>
      </c>
      <c r="I200">
        <f t="shared" si="7"/>
        <v>20</v>
      </c>
    </row>
    <row r="201" ht="14.25" customHeight="1" spans="1:9">
      <c r="A201" s="12">
        <v>43972</v>
      </c>
      <c r="B201" s="13" t="s">
        <v>17</v>
      </c>
      <c r="C201" s="13">
        <v>40819.5</v>
      </c>
      <c r="D201" s="13">
        <v>3810394.5</v>
      </c>
      <c r="E201" s="6" cm="1">
        <f t="array" ref="E201">_xlfn.XLOOKUP(1,(Лист2!A$2:A$505=A201)*(Лист2!B$2:B$505=B201),Лист2!C$2:C$505)</f>
        <v>21</v>
      </c>
      <c r="F201" s="6" cm="1">
        <f t="array" ref="F201">_xlfn.XLOOKUP(1,(Лист2!A$2:A$505=A201)*(Лист2!B$2:B$505=B201),Лист2!D$2:D$505)</f>
        <v>2335</v>
      </c>
      <c r="G201" s="6" cm="1">
        <f t="array" ref="G201">_xlfn.XLOOKUP(1,(Лист2!A$2:A$505=A201)*(Лист2!B$2:B$505=B201),Лист2!E$2:E$505)</f>
        <v>2126</v>
      </c>
      <c r="H201">
        <f t="shared" si="6"/>
        <v>181447.357142857</v>
      </c>
      <c r="I201">
        <f t="shared" si="7"/>
        <v>21</v>
      </c>
    </row>
    <row r="202" ht="14.25" customHeight="1" spans="1:9">
      <c r="A202" s="10">
        <v>43971</v>
      </c>
      <c r="B202" s="11" t="s">
        <v>17</v>
      </c>
      <c r="C202" s="11">
        <v>41391</v>
      </c>
      <c r="D202" s="11">
        <v>3918987</v>
      </c>
      <c r="E202" s="6" cm="1">
        <f t="array" ref="E202">_xlfn.XLOOKUP(1,(Лист2!A$2:A$505=A202)*(Лист2!B$2:B$505=B202),Лист2!C$2:C$505)</f>
        <v>21</v>
      </c>
      <c r="F202" s="6" cm="1">
        <f t="array" ref="F202">_xlfn.XLOOKUP(1,(Лист2!A$2:A$505=A202)*(Лист2!B$2:B$505=B202),Лист2!D$2:D$505)</f>
        <v>2410</v>
      </c>
      <c r="G202" s="6" cm="1">
        <f t="array" ref="G202">_xlfn.XLOOKUP(1,(Лист2!A$2:A$505=A202)*(Лист2!B$2:B$505=B202),Лист2!E$2:E$505)</f>
        <v>2202</v>
      </c>
      <c r="H202">
        <f t="shared" si="6"/>
        <v>186618.428571429</v>
      </c>
      <c r="I202">
        <f t="shared" si="7"/>
        <v>21</v>
      </c>
    </row>
    <row r="203" ht="14.25" customHeight="1" spans="1:9">
      <c r="A203" s="12">
        <v>43956</v>
      </c>
      <c r="B203" s="13" t="s">
        <v>17</v>
      </c>
      <c r="C203" s="13">
        <v>29482.5</v>
      </c>
      <c r="D203" s="13">
        <v>2648688</v>
      </c>
      <c r="E203" s="6" cm="1">
        <f t="array" ref="E203">_xlfn.XLOOKUP(1,(Лист2!A$2:A$505=A203)*(Лист2!B$2:B$505=B203),Лист2!C$2:C$505)</f>
        <v>20</v>
      </c>
      <c r="F203" s="6" cm="1">
        <f t="array" ref="F203">_xlfn.XLOOKUP(1,(Лист2!A$2:A$505=A203)*(Лист2!B$2:B$505=B203),Лист2!D$2:D$505)</f>
        <v>1757</v>
      </c>
      <c r="G203" s="6" cm="1">
        <f t="array" ref="G203">_xlfn.XLOOKUP(1,(Лист2!A$2:A$505=A203)*(Лист2!B$2:B$505=B203),Лист2!E$2:E$505)</f>
        <v>1596</v>
      </c>
      <c r="H203">
        <f t="shared" si="6"/>
        <v>132434.4</v>
      </c>
      <c r="I203">
        <f t="shared" si="7"/>
        <v>19</v>
      </c>
    </row>
    <row r="204" ht="14.25" customHeight="1" spans="1:9">
      <c r="A204" s="10">
        <v>43949</v>
      </c>
      <c r="B204" s="11" t="s">
        <v>17</v>
      </c>
      <c r="C204" s="11">
        <v>32181</v>
      </c>
      <c r="D204" s="11">
        <v>2863600.5</v>
      </c>
      <c r="E204" s="6" cm="1">
        <f t="array" ref="E204">_xlfn.XLOOKUP(1,(Лист2!A$2:A$505=A204)*(Лист2!B$2:B$505=B204),Лист2!C$2:C$505)</f>
        <v>19</v>
      </c>
      <c r="F204" s="6" cm="1">
        <f t="array" ref="F204">_xlfn.XLOOKUP(1,(Лист2!A$2:A$505=A204)*(Лист2!B$2:B$505=B204),Лист2!D$2:D$505)</f>
        <v>1846</v>
      </c>
      <c r="G204" s="6" cm="1">
        <f t="array" ref="G204">_xlfn.XLOOKUP(1,(Лист2!A$2:A$505=A204)*(Лист2!B$2:B$505=B204),Лист2!E$2:E$505)</f>
        <v>1681</v>
      </c>
      <c r="H204">
        <f t="shared" si="6"/>
        <v>150715.815789474</v>
      </c>
      <c r="I204">
        <f t="shared" si="7"/>
        <v>18</v>
      </c>
    </row>
    <row r="205" ht="14.25" customHeight="1" spans="1:9">
      <c r="A205" s="12">
        <v>43964</v>
      </c>
      <c r="B205" s="13" t="s">
        <v>17</v>
      </c>
      <c r="C205" s="13">
        <v>35535</v>
      </c>
      <c r="D205" s="13">
        <v>3288069</v>
      </c>
      <c r="E205" s="6" cm="1">
        <f t="array" ref="E205">_xlfn.XLOOKUP(1,(Лист2!A$2:A$505=A205)*(Лист2!B$2:B$505=B205),Лист2!C$2:C$505)</f>
        <v>21</v>
      </c>
      <c r="F205" s="6" cm="1">
        <f t="array" ref="F205">_xlfn.XLOOKUP(1,(Лист2!A$2:A$505=A205)*(Лист2!B$2:B$505=B205),Лист2!D$2:D$505)</f>
        <v>2061</v>
      </c>
      <c r="G205" s="6" cm="1">
        <f t="array" ref="G205">_xlfn.XLOOKUP(1,(Лист2!A$2:A$505=A205)*(Лист2!B$2:B$505=B205),Лист2!E$2:E$505)</f>
        <v>1876</v>
      </c>
      <c r="H205">
        <f t="shared" si="6"/>
        <v>156574.714285714</v>
      </c>
      <c r="I205">
        <f t="shared" si="7"/>
        <v>20</v>
      </c>
    </row>
    <row r="206" ht="14.25" customHeight="1" spans="1:9">
      <c r="A206" s="10">
        <v>43982</v>
      </c>
      <c r="B206" s="11" t="s">
        <v>16</v>
      </c>
      <c r="C206" s="11">
        <v>76234.5</v>
      </c>
      <c r="D206" s="11">
        <v>6500848.5</v>
      </c>
      <c r="E206" s="6" cm="1">
        <f t="array" ref="E206">_xlfn.XLOOKUP(1,(Лист2!A$2:A$505=A206)*(Лист2!B$2:B$505=B206),Лист2!C$2:C$505)</f>
        <v>37</v>
      </c>
      <c r="F206" s="6" cm="1">
        <f t="array" ref="F206">_xlfn.XLOOKUP(1,(Лист2!A$2:A$505=A206)*(Лист2!B$2:B$505=B206),Лист2!D$2:D$505)</f>
        <v>5215</v>
      </c>
      <c r="G206" s="6" cm="1">
        <f t="array" ref="G206">_xlfn.XLOOKUP(1,(Лист2!A$2:A$505=A206)*(Лист2!B$2:B$505=B206),Лист2!E$2:E$505)</f>
        <v>4848</v>
      </c>
      <c r="H206">
        <f t="shared" si="6"/>
        <v>175698.608108108</v>
      </c>
      <c r="I206">
        <f t="shared" si="7"/>
        <v>22</v>
      </c>
    </row>
    <row r="207" ht="14.25" customHeight="1" spans="1:9">
      <c r="A207" s="12">
        <v>43954</v>
      </c>
      <c r="B207" s="13" t="s">
        <v>17</v>
      </c>
      <c r="C207" s="13">
        <v>29935.5</v>
      </c>
      <c r="D207" s="13">
        <v>2720002.5</v>
      </c>
      <c r="E207" s="6" cm="1">
        <f t="array" ref="E207">_xlfn.XLOOKUP(1,(Лист2!A$2:A$505=A207)*(Лист2!B$2:B$505=B207),Лист2!C$2:C$505)</f>
        <v>20</v>
      </c>
      <c r="F207" s="6" cm="1">
        <f t="array" ref="F207">_xlfn.XLOOKUP(1,(Лист2!A$2:A$505=A207)*(Лист2!B$2:B$505=B207),Лист2!D$2:D$505)</f>
        <v>1716</v>
      </c>
      <c r="G207" s="6" cm="1">
        <f t="array" ref="G207">_xlfn.XLOOKUP(1,(Лист2!A$2:A$505=A207)*(Лист2!B$2:B$505=B207),Лист2!E$2:E$505)</f>
        <v>1561</v>
      </c>
      <c r="H207">
        <f t="shared" si="6"/>
        <v>136000.125</v>
      </c>
      <c r="I207">
        <f t="shared" si="7"/>
        <v>18</v>
      </c>
    </row>
    <row r="208" ht="14.25" customHeight="1" spans="1:9">
      <c r="A208" s="10">
        <v>43981</v>
      </c>
      <c r="B208" s="11" t="s">
        <v>16</v>
      </c>
      <c r="C208" s="11">
        <v>106926</v>
      </c>
      <c r="D208" s="11">
        <v>9098386.5</v>
      </c>
      <c r="E208" s="6" cm="1">
        <f t="array" ref="E208">_xlfn.XLOOKUP(1,(Лист2!A$2:A$505=A208)*(Лист2!B$2:B$505=B208),Лист2!C$2:C$505)</f>
        <v>37</v>
      </c>
      <c r="F208" s="6" cm="1">
        <f t="array" ref="F208">_xlfn.XLOOKUP(1,(Лист2!A$2:A$505=A208)*(Лист2!B$2:B$505=B208),Лист2!D$2:D$505)</f>
        <v>6645</v>
      </c>
      <c r="G208" s="6" cm="1">
        <f t="array" ref="G208">_xlfn.XLOOKUP(1,(Лист2!A$2:A$505=A208)*(Лист2!B$2:B$505=B208),Лист2!E$2:E$505)</f>
        <v>6122</v>
      </c>
      <c r="H208">
        <f t="shared" si="6"/>
        <v>245902.337837838</v>
      </c>
      <c r="I208">
        <f t="shared" si="7"/>
        <v>22</v>
      </c>
    </row>
    <row r="209" ht="14.25" customHeight="1" spans="1:9">
      <c r="A209" s="12">
        <v>43957</v>
      </c>
      <c r="B209" s="13" t="s">
        <v>17</v>
      </c>
      <c r="C209" s="13">
        <v>30342</v>
      </c>
      <c r="D209" s="13">
        <v>2738127</v>
      </c>
      <c r="E209" s="6" cm="1">
        <f t="array" ref="E209">_xlfn.XLOOKUP(1,(Лист2!A$2:A$505=A209)*(Лист2!B$2:B$505=B209),Лист2!C$2:C$505)</f>
        <v>20</v>
      </c>
      <c r="F209" s="6" cm="1">
        <f t="array" ref="F209">_xlfn.XLOOKUP(1,(Лист2!A$2:A$505=A209)*(Лист2!B$2:B$505=B209),Лист2!D$2:D$505)</f>
        <v>1747</v>
      </c>
      <c r="G209" s="6" cm="1">
        <f t="array" ref="G209">_xlfn.XLOOKUP(1,(Лист2!A$2:A$505=A209)*(Лист2!B$2:B$505=B209),Лист2!E$2:E$505)</f>
        <v>1570</v>
      </c>
      <c r="H209">
        <f t="shared" si="6"/>
        <v>136906.35</v>
      </c>
      <c r="I209">
        <f t="shared" si="7"/>
        <v>19</v>
      </c>
    </row>
    <row r="210" ht="14.25" customHeight="1" spans="1:9">
      <c r="A210" s="10">
        <v>43974</v>
      </c>
      <c r="B210" s="11" t="s">
        <v>17</v>
      </c>
      <c r="C210" s="11">
        <v>42999</v>
      </c>
      <c r="D210" s="11">
        <v>3883215</v>
      </c>
      <c r="E210" s="6" cm="1">
        <f t="array" ref="E210">_xlfn.XLOOKUP(1,(Лист2!A$2:A$505=A210)*(Лист2!B$2:B$505=B210),Лист2!C$2:C$505)</f>
        <v>21</v>
      </c>
      <c r="F210" s="6" cm="1">
        <f t="array" ref="F210">_xlfn.XLOOKUP(1,(Лист2!A$2:A$505=A210)*(Лист2!B$2:B$505=B210),Лист2!D$2:D$505)</f>
        <v>2460</v>
      </c>
      <c r="G210" s="6" cm="1">
        <f t="array" ref="G210">_xlfn.XLOOKUP(1,(Лист2!A$2:A$505=A210)*(Лист2!B$2:B$505=B210),Лист2!E$2:E$505)</f>
        <v>2226</v>
      </c>
      <c r="H210">
        <f t="shared" si="6"/>
        <v>184915</v>
      </c>
      <c r="I210">
        <f t="shared" si="7"/>
        <v>21</v>
      </c>
    </row>
    <row r="211" ht="14.25" customHeight="1" spans="1:9">
      <c r="A211" s="12">
        <v>43979</v>
      </c>
      <c r="B211" s="13" t="s">
        <v>16</v>
      </c>
      <c r="C211" s="13">
        <v>69945</v>
      </c>
      <c r="D211" s="13">
        <v>6101931</v>
      </c>
      <c r="E211" s="6" cm="1">
        <f t="array" ref="E211">_xlfn.XLOOKUP(1,(Лист2!A$2:A$505=A211)*(Лист2!B$2:B$505=B211),Лист2!C$2:C$505)</f>
        <v>37</v>
      </c>
      <c r="F211" s="6" cm="1">
        <f t="array" ref="F211">_xlfn.XLOOKUP(1,(Лист2!A$2:A$505=A211)*(Лист2!B$2:B$505=B211),Лист2!D$2:D$505)</f>
        <v>4840</v>
      </c>
      <c r="G211" s="6" cm="1">
        <f t="array" ref="G211">_xlfn.XLOOKUP(1,(Лист2!A$2:A$505=A211)*(Лист2!B$2:B$505=B211),Лист2!E$2:E$505)</f>
        <v>4475</v>
      </c>
      <c r="H211">
        <f t="shared" si="6"/>
        <v>164917.054054054</v>
      </c>
      <c r="I211">
        <f t="shared" si="7"/>
        <v>22</v>
      </c>
    </row>
    <row r="212" ht="14.25" customHeight="1" spans="1:9">
      <c r="A212" s="10">
        <v>43976</v>
      </c>
      <c r="B212" s="11" t="s">
        <v>17</v>
      </c>
      <c r="C212" s="11">
        <v>38740.5</v>
      </c>
      <c r="D212" s="11">
        <v>3561655.5</v>
      </c>
      <c r="E212" s="6" cm="1">
        <f t="array" ref="E212">_xlfn.XLOOKUP(1,(Лист2!A$2:A$505=A212)*(Лист2!B$2:B$505=B212),Лист2!C$2:C$505)</f>
        <v>21</v>
      </c>
      <c r="F212" s="6" cm="1">
        <f t="array" ref="F212">_xlfn.XLOOKUP(1,(Лист2!A$2:A$505=A212)*(Лист2!B$2:B$505=B212),Лист2!D$2:D$505)</f>
        <v>2330</v>
      </c>
      <c r="G212" s="6" cm="1">
        <f t="array" ref="G212">_xlfn.XLOOKUP(1,(Лист2!A$2:A$505=A212)*(Лист2!B$2:B$505=B212),Лист2!E$2:E$505)</f>
        <v>2142</v>
      </c>
      <c r="H212">
        <f t="shared" si="6"/>
        <v>169602.642857143</v>
      </c>
      <c r="I212">
        <f t="shared" si="7"/>
        <v>22</v>
      </c>
    </row>
    <row r="213" ht="14.25" customHeight="1" spans="1:9">
      <c r="A213" s="12">
        <v>43951</v>
      </c>
      <c r="B213" s="13" t="s">
        <v>17</v>
      </c>
      <c r="C213" s="13">
        <v>31231.5</v>
      </c>
      <c r="D213" s="13">
        <v>2853310.5</v>
      </c>
      <c r="E213" s="6" cm="1">
        <f t="array" ref="E213">_xlfn.XLOOKUP(1,(Лист2!A$2:A$505=A213)*(Лист2!B$2:B$505=B213),Лист2!C$2:C$505)</f>
        <v>20</v>
      </c>
      <c r="F213" s="6" cm="1">
        <f t="array" ref="F213">_xlfn.XLOOKUP(1,(Лист2!A$2:A$505=A213)*(Лист2!B$2:B$505=B213),Лист2!D$2:D$505)</f>
        <v>1756</v>
      </c>
      <c r="G213" s="6" cm="1">
        <f t="array" ref="G213">_xlfn.XLOOKUP(1,(Лист2!A$2:A$505=A213)*(Лист2!B$2:B$505=B213),Лист2!E$2:E$505)</f>
        <v>1586</v>
      </c>
      <c r="H213">
        <f t="shared" si="6"/>
        <v>142665.525</v>
      </c>
      <c r="I213">
        <f t="shared" si="7"/>
        <v>18</v>
      </c>
    </row>
    <row r="214" ht="14.25" customHeight="1" spans="1:9">
      <c r="A214" s="10">
        <v>43961</v>
      </c>
      <c r="B214" s="11" t="s">
        <v>17</v>
      </c>
      <c r="C214" s="11">
        <v>37489.5</v>
      </c>
      <c r="D214" s="11">
        <v>3549097.5</v>
      </c>
      <c r="E214" s="6" cm="1">
        <f t="array" ref="E214">_xlfn.XLOOKUP(1,(Лист2!A$2:A$505=A214)*(Лист2!B$2:B$505=B214),Лист2!C$2:C$505)</f>
        <v>21</v>
      </c>
      <c r="F214" s="6" cm="1">
        <f t="array" ref="F214">_xlfn.XLOOKUP(1,(Лист2!A$2:A$505=A214)*(Лист2!B$2:B$505=B214),Лист2!D$2:D$505)</f>
        <v>2120</v>
      </c>
      <c r="G214" s="6" cm="1">
        <f t="array" ref="G214">_xlfn.XLOOKUP(1,(Лист2!A$2:A$505=A214)*(Лист2!B$2:B$505=B214),Лист2!E$2:E$505)</f>
        <v>1921</v>
      </c>
      <c r="H214">
        <f t="shared" si="6"/>
        <v>169004.642857143</v>
      </c>
      <c r="I214">
        <f t="shared" si="7"/>
        <v>19</v>
      </c>
    </row>
    <row r="215" ht="14.25" customHeight="1" spans="1:9">
      <c r="A215" s="12">
        <v>43959</v>
      </c>
      <c r="B215" s="13" t="s">
        <v>17</v>
      </c>
      <c r="C215" s="13">
        <v>34399.5</v>
      </c>
      <c r="D215" s="13">
        <v>3201358.5</v>
      </c>
      <c r="E215" s="6" cm="1">
        <f t="array" ref="E215">_xlfn.XLOOKUP(1,(Лист2!A$2:A$505=A215)*(Лист2!B$2:B$505=B215),Лист2!C$2:C$505)</f>
        <v>21</v>
      </c>
      <c r="F215" s="6" cm="1">
        <f t="array" ref="F215">_xlfn.XLOOKUP(1,(Лист2!A$2:A$505=A215)*(Лист2!B$2:B$505=B215),Лист2!D$2:D$505)</f>
        <v>1957</v>
      </c>
      <c r="G215" s="6" cm="1">
        <f t="array" ref="G215">_xlfn.XLOOKUP(1,(Лист2!A$2:A$505=A215)*(Лист2!B$2:B$505=B215),Лист2!E$2:E$505)</f>
        <v>1755</v>
      </c>
      <c r="H215">
        <f t="shared" si="6"/>
        <v>152445.642857143</v>
      </c>
      <c r="I215">
        <f t="shared" si="7"/>
        <v>19</v>
      </c>
    </row>
    <row r="216" ht="14.25" customHeight="1" spans="1:9">
      <c r="A216" s="10">
        <v>43958</v>
      </c>
      <c r="B216" s="11" t="s">
        <v>17</v>
      </c>
      <c r="C216" s="11">
        <v>32851.5</v>
      </c>
      <c r="D216" s="11">
        <v>2934504</v>
      </c>
      <c r="E216" s="6" cm="1">
        <f t="array" ref="E216">_xlfn.XLOOKUP(1,(Лист2!A$2:A$505=A216)*(Лист2!B$2:B$505=B216),Лист2!C$2:C$505)</f>
        <v>21</v>
      </c>
      <c r="F216" s="6" cm="1">
        <f t="array" ref="F216">_xlfn.XLOOKUP(1,(Лист2!A$2:A$505=A216)*(Лист2!B$2:B$505=B216),Лист2!D$2:D$505)</f>
        <v>1879</v>
      </c>
      <c r="G216" s="6" cm="1">
        <f t="array" ref="G216">_xlfn.XLOOKUP(1,(Лист2!A$2:A$505=A216)*(Лист2!B$2:B$505=B216),Лист2!E$2:E$505)</f>
        <v>1695</v>
      </c>
      <c r="H216">
        <f t="shared" si="6"/>
        <v>139738.285714286</v>
      </c>
      <c r="I216">
        <f t="shared" si="7"/>
        <v>19</v>
      </c>
    </row>
    <row r="217" ht="14.25" customHeight="1" spans="1:9">
      <c r="A217" s="12">
        <v>43975</v>
      </c>
      <c r="B217" s="13" t="s">
        <v>17</v>
      </c>
      <c r="C217" s="13">
        <v>38194.5</v>
      </c>
      <c r="D217" s="13">
        <v>3449302.5</v>
      </c>
      <c r="E217" s="6" cm="1">
        <f t="array" ref="E217">_xlfn.XLOOKUP(1,(Лист2!A$2:A$505=A217)*(Лист2!B$2:B$505=B217),Лист2!C$2:C$505)</f>
        <v>21</v>
      </c>
      <c r="F217" s="6" cm="1">
        <f t="array" ref="F217">_xlfn.XLOOKUP(1,(Лист2!A$2:A$505=A217)*(Лист2!B$2:B$505=B217),Лист2!D$2:D$505)</f>
        <v>2254</v>
      </c>
      <c r="G217" s="6" cm="1">
        <f t="array" ref="G217">_xlfn.XLOOKUP(1,(Лист2!A$2:A$505=A217)*(Лист2!B$2:B$505=B217),Лист2!E$2:E$505)</f>
        <v>2061</v>
      </c>
      <c r="H217">
        <f t="shared" si="6"/>
        <v>164252.5</v>
      </c>
      <c r="I217">
        <f t="shared" si="7"/>
        <v>21</v>
      </c>
    </row>
    <row r="218" ht="14.25" customHeight="1" spans="1:9">
      <c r="A218" s="10">
        <v>43982</v>
      </c>
      <c r="B218" s="11" t="s">
        <v>17</v>
      </c>
      <c r="C218" s="11">
        <v>42423</v>
      </c>
      <c r="D218" s="11">
        <v>3994153.5</v>
      </c>
      <c r="E218" s="6" cm="1">
        <f t="array" ref="E218">_xlfn.XLOOKUP(1,(Лист2!A$2:A$505=A218)*(Лист2!B$2:B$505=B218),Лист2!C$2:C$505)</f>
        <v>23</v>
      </c>
      <c r="F218" s="6" cm="1">
        <f t="array" ref="F218">_xlfn.XLOOKUP(1,(Лист2!A$2:A$505=A218)*(Лист2!B$2:B$505=B218),Лист2!D$2:D$505)</f>
        <v>2522</v>
      </c>
      <c r="G218" s="6" cm="1">
        <f t="array" ref="G218">_xlfn.XLOOKUP(1,(Лист2!A$2:A$505=A218)*(Лист2!B$2:B$505=B218),Лист2!E$2:E$505)</f>
        <v>2295</v>
      </c>
      <c r="H218">
        <f t="shared" si="6"/>
        <v>173658.847826087</v>
      </c>
      <c r="I218">
        <f t="shared" si="7"/>
        <v>22</v>
      </c>
    </row>
    <row r="219" ht="14.25" customHeight="1" spans="1:9">
      <c r="A219" s="12">
        <v>43981</v>
      </c>
      <c r="B219" s="13" t="s">
        <v>17</v>
      </c>
      <c r="C219" s="13">
        <v>48286.5</v>
      </c>
      <c r="D219" s="13">
        <v>4456441.5</v>
      </c>
      <c r="E219" s="6" cm="1">
        <f t="array" ref="E219">_xlfn.XLOOKUP(1,(Лист2!A$2:A$505=A219)*(Лист2!B$2:B$505=B219),Лист2!C$2:C$505)</f>
        <v>22</v>
      </c>
      <c r="F219" s="6" cm="1">
        <f t="array" ref="F219">_xlfn.XLOOKUP(1,(Лист2!A$2:A$505=A219)*(Лист2!B$2:B$505=B219),Лист2!D$2:D$505)</f>
        <v>2793</v>
      </c>
      <c r="G219" s="6" cm="1">
        <f t="array" ref="G219">_xlfn.XLOOKUP(1,(Лист2!A$2:A$505=A219)*(Лист2!B$2:B$505=B219),Лист2!E$2:E$505)</f>
        <v>2539</v>
      </c>
      <c r="H219">
        <f t="shared" si="6"/>
        <v>202565.522727273</v>
      </c>
      <c r="I219">
        <f t="shared" si="7"/>
        <v>22</v>
      </c>
    </row>
    <row r="220" ht="14.25" customHeight="1" spans="1:9">
      <c r="A220" s="10">
        <v>43979</v>
      </c>
      <c r="B220" s="11" t="s">
        <v>17</v>
      </c>
      <c r="C220" s="11">
        <v>41442</v>
      </c>
      <c r="D220" s="11">
        <v>3893680.5</v>
      </c>
      <c r="E220" s="6" cm="1">
        <f t="array" ref="E220">_xlfn.XLOOKUP(1,(Лист2!A$2:A$505=A220)*(Лист2!B$2:B$505=B220),Лист2!C$2:C$505)</f>
        <v>22</v>
      </c>
      <c r="F220" s="6" cm="1">
        <f t="array" ref="F220">_xlfn.XLOOKUP(1,(Лист2!A$2:A$505=A220)*(Лист2!B$2:B$505=B220),Лист2!D$2:D$505)</f>
        <v>2454</v>
      </c>
      <c r="G220" s="6" cm="1">
        <f t="array" ref="G220">_xlfn.XLOOKUP(1,(Лист2!A$2:A$505=A220)*(Лист2!B$2:B$505=B220),Лист2!E$2:E$505)</f>
        <v>2239</v>
      </c>
      <c r="H220">
        <f t="shared" si="6"/>
        <v>176985.477272727</v>
      </c>
      <c r="I220">
        <f t="shared" si="7"/>
        <v>22</v>
      </c>
    </row>
    <row r="221" ht="14.25" customHeight="1" spans="1:9">
      <c r="A221" s="12">
        <v>43967</v>
      </c>
      <c r="B221" s="13" t="s">
        <v>18</v>
      </c>
      <c r="C221" s="13">
        <v>18600</v>
      </c>
      <c r="D221" s="13">
        <v>1601425.5</v>
      </c>
      <c r="E221" s="6" cm="1">
        <f t="array" ref="E221">_xlfn.XLOOKUP(1,(Лист2!A$2:A$505=A221)*(Лист2!B$2:B$505=B221),Лист2!C$2:C$505)</f>
        <v>15</v>
      </c>
      <c r="F221" s="6" cm="1">
        <f t="array" ref="F221">_xlfn.XLOOKUP(1,(Лист2!A$2:A$505=A221)*(Лист2!B$2:B$505=B221),Лист2!D$2:D$505)</f>
        <v>1111</v>
      </c>
      <c r="G221" s="6" cm="1">
        <f t="array" ref="G221">_xlfn.XLOOKUP(1,(Лист2!A$2:A$505=A221)*(Лист2!B$2:B$505=B221),Лист2!E$2:E$505)</f>
        <v>992</v>
      </c>
      <c r="H221">
        <f t="shared" si="6"/>
        <v>106761.7</v>
      </c>
      <c r="I221">
        <f t="shared" si="7"/>
        <v>20</v>
      </c>
    </row>
    <row r="222" ht="14.25" customHeight="1" spans="1:9">
      <c r="A222" s="10">
        <v>43970</v>
      </c>
      <c r="B222" s="11" t="s">
        <v>18</v>
      </c>
      <c r="C222" s="11">
        <v>16638</v>
      </c>
      <c r="D222" s="11">
        <v>1364847</v>
      </c>
      <c r="E222" s="6" cm="1">
        <f t="array" ref="E222">_xlfn.XLOOKUP(1,(Лист2!A$2:A$505=A222)*(Лист2!B$2:B$505=B222),Лист2!C$2:C$505)</f>
        <v>16</v>
      </c>
      <c r="F222" s="6" cm="1">
        <f t="array" ref="F222">_xlfn.XLOOKUP(1,(Лист2!A$2:A$505=A222)*(Лист2!B$2:B$505=B222),Лист2!D$2:D$505)</f>
        <v>1012</v>
      </c>
      <c r="G222" s="6" cm="1">
        <f t="array" ref="G222">_xlfn.XLOOKUP(1,(Лист2!A$2:A$505=A222)*(Лист2!B$2:B$505=B222),Лист2!E$2:E$505)</f>
        <v>900</v>
      </c>
      <c r="H222">
        <f t="shared" si="6"/>
        <v>85302.9375</v>
      </c>
      <c r="I222">
        <f t="shared" si="7"/>
        <v>21</v>
      </c>
    </row>
    <row r="223" ht="14.25" customHeight="1" spans="1:9">
      <c r="A223" s="12">
        <v>43968</v>
      </c>
      <c r="B223" s="13" t="s">
        <v>18</v>
      </c>
      <c r="C223" s="13">
        <v>15609</v>
      </c>
      <c r="D223" s="13">
        <v>1377577.5</v>
      </c>
      <c r="E223" s="6" cm="1">
        <f t="array" ref="E223">_xlfn.XLOOKUP(1,(Лист2!A$2:A$505=A223)*(Лист2!B$2:B$505=B223),Лист2!C$2:C$505)</f>
        <v>15</v>
      </c>
      <c r="F223" s="6" cm="1">
        <f t="array" ref="F223">_xlfn.XLOOKUP(1,(Лист2!A$2:A$505=A223)*(Лист2!B$2:B$505=B223),Лист2!D$2:D$505)</f>
        <v>971</v>
      </c>
      <c r="G223" s="6" cm="1">
        <f t="array" ref="G223">_xlfn.XLOOKUP(1,(Лист2!A$2:A$505=A223)*(Лист2!B$2:B$505=B223),Лист2!E$2:E$505)</f>
        <v>856</v>
      </c>
      <c r="H223">
        <f t="shared" si="6"/>
        <v>91838.5</v>
      </c>
      <c r="I223">
        <f t="shared" si="7"/>
        <v>20</v>
      </c>
    </row>
    <row r="224" ht="14.25" customHeight="1" spans="1:9">
      <c r="A224" s="10">
        <v>43960</v>
      </c>
      <c r="B224" s="11" t="s">
        <v>18</v>
      </c>
      <c r="C224" s="11">
        <v>13948.5</v>
      </c>
      <c r="D224" s="11">
        <v>1222932</v>
      </c>
      <c r="E224" s="6" cm="1">
        <f t="array" ref="E224">_xlfn.XLOOKUP(1,(Лист2!A$2:A$505=A224)*(Лист2!B$2:B$505=B224),Лист2!C$2:C$505)</f>
        <v>15</v>
      </c>
      <c r="F224" s="6" cm="1">
        <f t="array" ref="F224">_xlfn.XLOOKUP(1,(Лист2!A$2:A$505=A224)*(Лист2!B$2:B$505=B224),Лист2!D$2:D$505)</f>
        <v>849</v>
      </c>
      <c r="G224" s="6" cm="1">
        <f t="array" ref="G224">_xlfn.XLOOKUP(1,(Лист2!A$2:A$505=A224)*(Лист2!B$2:B$505=B224),Лист2!E$2:E$505)</f>
        <v>740</v>
      </c>
      <c r="H224">
        <f t="shared" si="6"/>
        <v>81528.8</v>
      </c>
      <c r="I224">
        <f t="shared" si="7"/>
        <v>19</v>
      </c>
    </row>
    <row r="225" ht="14.25" customHeight="1" spans="1:9">
      <c r="A225" s="12">
        <v>43955</v>
      </c>
      <c r="B225" s="13" t="s">
        <v>18</v>
      </c>
      <c r="C225" s="13">
        <v>12301.5</v>
      </c>
      <c r="D225" s="13">
        <v>1085211</v>
      </c>
      <c r="E225" s="6" cm="1">
        <f t="array" ref="E225">_xlfn.XLOOKUP(1,(Лист2!A$2:A$505=A225)*(Лист2!B$2:B$505=B225),Лист2!C$2:C$505)</f>
        <v>15</v>
      </c>
      <c r="F225" s="6" cm="1">
        <f t="array" ref="F225">_xlfn.XLOOKUP(1,(Лист2!A$2:A$505=A225)*(Лист2!B$2:B$505=B225),Лист2!D$2:D$505)</f>
        <v>750</v>
      </c>
      <c r="G225" s="6" cm="1">
        <f t="array" ref="G225">_xlfn.XLOOKUP(1,(Лист2!A$2:A$505=A225)*(Лист2!B$2:B$505=B225),Лист2!E$2:E$505)</f>
        <v>647</v>
      </c>
      <c r="H225">
        <f t="shared" si="6"/>
        <v>72347.4</v>
      </c>
      <c r="I225">
        <f t="shared" si="7"/>
        <v>19</v>
      </c>
    </row>
    <row r="226" ht="14.25" customHeight="1" spans="1:9">
      <c r="A226" s="10">
        <v>43950</v>
      </c>
      <c r="B226" s="11" t="s">
        <v>18</v>
      </c>
      <c r="C226" s="11">
        <v>13014</v>
      </c>
      <c r="D226" s="11">
        <v>1115992.5</v>
      </c>
      <c r="E226" s="6" cm="1">
        <f t="array" ref="E226">_xlfn.XLOOKUP(1,(Лист2!A$2:A$505=A226)*(Лист2!B$2:B$505=B226),Лист2!C$2:C$505)</f>
        <v>15</v>
      </c>
      <c r="F226" s="6" cm="1">
        <f t="array" ref="F226">_xlfn.XLOOKUP(1,(Лист2!A$2:A$505=A226)*(Лист2!B$2:B$505=B226),Лист2!D$2:D$505)</f>
        <v>786</v>
      </c>
      <c r="G226" s="6" cm="1">
        <f t="array" ref="G226">_xlfn.XLOOKUP(1,(Лист2!A$2:A$505=A226)*(Лист2!B$2:B$505=B226),Лист2!E$2:E$505)</f>
        <v>695</v>
      </c>
      <c r="H226">
        <f t="shared" si="6"/>
        <v>74399.5</v>
      </c>
      <c r="I226">
        <f t="shared" si="7"/>
        <v>18</v>
      </c>
    </row>
    <row r="227" ht="14.25" customHeight="1" spans="1:9">
      <c r="A227" s="12">
        <v>43953</v>
      </c>
      <c r="B227" s="13" t="s">
        <v>18</v>
      </c>
      <c r="C227" s="13">
        <v>12313.5</v>
      </c>
      <c r="D227" s="13">
        <v>1053220.5</v>
      </c>
      <c r="E227" s="6" cm="1">
        <f t="array" ref="E227">_xlfn.XLOOKUP(1,(Лист2!A$2:A$505=A227)*(Лист2!B$2:B$505=B227),Лист2!C$2:C$505)</f>
        <v>15</v>
      </c>
      <c r="F227" s="6" cm="1">
        <f t="array" ref="F227">_xlfn.XLOOKUP(1,(Лист2!A$2:A$505=A227)*(Лист2!B$2:B$505=B227),Лист2!D$2:D$505)</f>
        <v>751</v>
      </c>
      <c r="G227" s="6" cm="1">
        <f t="array" ref="G227">_xlfn.XLOOKUP(1,(Лист2!A$2:A$505=A227)*(Лист2!B$2:B$505=B227),Лист2!E$2:E$505)</f>
        <v>651</v>
      </c>
      <c r="H227">
        <f t="shared" si="6"/>
        <v>70214.7</v>
      </c>
      <c r="I227">
        <f t="shared" si="7"/>
        <v>18</v>
      </c>
    </row>
    <row r="228" ht="14.25" customHeight="1" spans="1:9">
      <c r="A228" s="10">
        <v>43977</v>
      </c>
      <c r="B228" s="11" t="s">
        <v>18</v>
      </c>
      <c r="C228" s="11">
        <v>17391</v>
      </c>
      <c r="D228" s="11">
        <v>1489132.5</v>
      </c>
      <c r="E228" s="6" cm="1">
        <f t="array" ref="E228">_xlfn.XLOOKUP(1,(Лист2!A$2:A$505=A228)*(Лист2!B$2:B$505=B228),Лист2!C$2:C$505)</f>
        <v>17</v>
      </c>
      <c r="F228" s="6" cm="1">
        <f t="array" ref="F228">_xlfn.XLOOKUP(1,(Лист2!A$2:A$505=A228)*(Лист2!B$2:B$505=B228),Лист2!D$2:D$505)</f>
        <v>1140</v>
      </c>
      <c r="G228" s="6" cm="1">
        <f t="array" ref="G228">_xlfn.XLOOKUP(1,(Лист2!A$2:A$505=A228)*(Лист2!B$2:B$505=B228),Лист2!E$2:E$505)</f>
        <v>1016</v>
      </c>
      <c r="H228">
        <f t="shared" si="6"/>
        <v>87596.0294117647</v>
      </c>
      <c r="I228">
        <f t="shared" si="7"/>
        <v>22</v>
      </c>
    </row>
    <row r="229" ht="14.25" customHeight="1" spans="1:9">
      <c r="A229" s="12">
        <v>43952</v>
      </c>
      <c r="B229" s="13" t="s">
        <v>18</v>
      </c>
      <c r="C229" s="13">
        <v>17113.5</v>
      </c>
      <c r="D229" s="13">
        <v>1465842</v>
      </c>
      <c r="E229" s="6" cm="1">
        <f t="array" ref="E229">_xlfn.XLOOKUP(1,(Лист2!A$2:A$505=A229)*(Лист2!B$2:B$505=B229),Лист2!C$2:C$505)</f>
        <v>15</v>
      </c>
      <c r="F229" s="6" cm="1">
        <f t="array" ref="F229">_xlfn.XLOOKUP(1,(Лист2!A$2:A$505=A229)*(Лист2!B$2:B$505=B229),Лист2!D$2:D$505)</f>
        <v>996</v>
      </c>
      <c r="G229" s="6" cm="1">
        <f t="array" ref="G229">_xlfn.XLOOKUP(1,(Лист2!A$2:A$505=A229)*(Лист2!B$2:B$505=B229),Лист2!E$2:E$505)</f>
        <v>888</v>
      </c>
      <c r="H229">
        <f t="shared" si="6"/>
        <v>97722.8</v>
      </c>
      <c r="I229">
        <f t="shared" si="7"/>
        <v>18</v>
      </c>
    </row>
    <row r="230" ht="14.25" customHeight="1" spans="1:9">
      <c r="A230" s="10">
        <v>43963</v>
      </c>
      <c r="B230" s="11" t="s">
        <v>18</v>
      </c>
      <c r="C230" s="11">
        <v>12802.5</v>
      </c>
      <c r="D230" s="11">
        <v>1123830</v>
      </c>
      <c r="E230" s="6" cm="1">
        <f t="array" ref="E230">_xlfn.XLOOKUP(1,(Лист2!A$2:A$505=A230)*(Лист2!B$2:B$505=B230),Лист2!C$2:C$505)</f>
        <v>15</v>
      </c>
      <c r="F230" s="6" cm="1">
        <f t="array" ref="F230">_xlfn.XLOOKUP(1,(Лист2!A$2:A$505=A230)*(Лист2!B$2:B$505=B230),Лист2!D$2:D$505)</f>
        <v>845</v>
      </c>
      <c r="G230" s="6" cm="1">
        <f t="array" ref="G230">_xlfn.XLOOKUP(1,(Лист2!A$2:A$505=A230)*(Лист2!B$2:B$505=B230),Лист2!E$2:E$505)</f>
        <v>743</v>
      </c>
      <c r="H230">
        <f t="shared" si="6"/>
        <v>74922</v>
      </c>
      <c r="I230">
        <f t="shared" si="7"/>
        <v>20</v>
      </c>
    </row>
    <row r="231" ht="14.25" customHeight="1" spans="1:9">
      <c r="A231" s="12">
        <v>43972</v>
      </c>
      <c r="B231" s="13" t="s">
        <v>18</v>
      </c>
      <c r="C231" s="13">
        <v>16554</v>
      </c>
      <c r="D231" s="13">
        <v>1380751.5</v>
      </c>
      <c r="E231" s="6" cm="1">
        <f t="array" ref="E231">_xlfn.XLOOKUP(1,(Лист2!A$2:A$505=A231)*(Лист2!B$2:B$505=B231),Лист2!C$2:C$505)</f>
        <v>17</v>
      </c>
      <c r="F231" s="6" cm="1">
        <f t="array" ref="F231">_xlfn.XLOOKUP(1,(Лист2!A$2:A$505=A231)*(Лист2!B$2:B$505=B231),Лист2!D$2:D$505)</f>
        <v>1045</v>
      </c>
      <c r="G231" s="6" cm="1">
        <f t="array" ref="G231">_xlfn.XLOOKUP(1,(Лист2!A$2:A$505=A231)*(Лист2!B$2:B$505=B231),Лист2!E$2:E$505)</f>
        <v>930</v>
      </c>
      <c r="H231">
        <f t="shared" si="6"/>
        <v>81220.6764705882</v>
      </c>
      <c r="I231">
        <f t="shared" si="7"/>
        <v>21</v>
      </c>
    </row>
    <row r="232" ht="14.25" customHeight="1" spans="1:9">
      <c r="A232" s="10">
        <v>43971</v>
      </c>
      <c r="B232" s="11" t="s">
        <v>18</v>
      </c>
      <c r="C232" s="11">
        <v>17329.5</v>
      </c>
      <c r="D232" s="11">
        <v>1430254.5</v>
      </c>
      <c r="E232" s="6" cm="1">
        <f t="array" ref="E232">_xlfn.XLOOKUP(1,(Лист2!A$2:A$505=A232)*(Лист2!B$2:B$505=B232),Лист2!C$2:C$505)</f>
        <v>16</v>
      </c>
      <c r="F232" s="6" cm="1">
        <f t="array" ref="F232">_xlfn.XLOOKUP(1,(Лист2!A$2:A$505=A232)*(Лист2!B$2:B$505=B232),Лист2!D$2:D$505)</f>
        <v>1050</v>
      </c>
      <c r="G232" s="6" cm="1">
        <f t="array" ref="G232">_xlfn.XLOOKUP(1,(Лист2!A$2:A$505=A232)*(Лист2!B$2:B$505=B232),Лист2!E$2:E$505)</f>
        <v>938</v>
      </c>
      <c r="H232">
        <f t="shared" si="6"/>
        <v>89390.90625</v>
      </c>
      <c r="I232">
        <f t="shared" si="7"/>
        <v>21</v>
      </c>
    </row>
    <row r="233" ht="14.25" customHeight="1" spans="1:9">
      <c r="A233" s="12">
        <v>43956</v>
      </c>
      <c r="B233" s="13" t="s">
        <v>18</v>
      </c>
      <c r="C233" s="13">
        <v>15987</v>
      </c>
      <c r="D233" s="13">
        <v>1384179</v>
      </c>
      <c r="E233" s="6" cm="1">
        <f t="array" ref="E233">_xlfn.XLOOKUP(1,(Лист2!A$2:A$505=A233)*(Лист2!B$2:B$505=B233),Лист2!C$2:C$505)</f>
        <v>15</v>
      </c>
      <c r="F233" s="6" cm="1">
        <f t="array" ref="F233">_xlfn.XLOOKUP(1,(Лист2!A$2:A$505=A233)*(Лист2!B$2:B$505=B233),Лист2!D$2:D$505)</f>
        <v>922</v>
      </c>
      <c r="G233" s="6" cm="1">
        <f t="array" ref="G233">_xlfn.XLOOKUP(1,(Лист2!A$2:A$505=A233)*(Лист2!B$2:B$505=B233),Лист2!E$2:E$505)</f>
        <v>823</v>
      </c>
      <c r="H233">
        <f t="shared" si="6"/>
        <v>92278.6</v>
      </c>
      <c r="I233">
        <f t="shared" si="7"/>
        <v>19</v>
      </c>
    </row>
    <row r="234" ht="14.25" customHeight="1" spans="1:9">
      <c r="A234" s="10">
        <v>43949</v>
      </c>
      <c r="B234" s="11" t="s">
        <v>18</v>
      </c>
      <c r="C234" s="11">
        <v>13303.5</v>
      </c>
      <c r="D234" s="11">
        <v>1102887</v>
      </c>
      <c r="E234" s="6" cm="1">
        <f t="array" ref="E234">_xlfn.XLOOKUP(1,(Лист2!A$2:A$505=A234)*(Лист2!B$2:B$505=B234),Лист2!C$2:C$505)</f>
        <v>15</v>
      </c>
      <c r="F234" s="6" cm="1">
        <f t="array" ref="F234">_xlfn.XLOOKUP(1,(Лист2!A$2:A$505=A234)*(Лист2!B$2:B$505=B234),Лист2!D$2:D$505)</f>
        <v>780</v>
      </c>
      <c r="G234" s="6" cm="1">
        <f t="array" ref="G234">_xlfn.XLOOKUP(1,(Лист2!A$2:A$505=A234)*(Лист2!B$2:B$505=B234),Лист2!E$2:E$505)</f>
        <v>690</v>
      </c>
      <c r="H234">
        <f t="shared" si="6"/>
        <v>73525.8</v>
      </c>
      <c r="I234">
        <f t="shared" si="7"/>
        <v>18</v>
      </c>
    </row>
    <row r="235" ht="14.25" customHeight="1" spans="1:9">
      <c r="A235" s="12">
        <v>43964</v>
      </c>
      <c r="B235" s="13" t="s">
        <v>18</v>
      </c>
      <c r="C235" s="13">
        <v>14305.5</v>
      </c>
      <c r="D235" s="13">
        <v>1243507.5</v>
      </c>
      <c r="E235" s="6" cm="1">
        <f t="array" ref="E235">_xlfn.XLOOKUP(1,(Лист2!A$2:A$505=A235)*(Лист2!B$2:B$505=B235),Лист2!C$2:C$505)</f>
        <v>15</v>
      </c>
      <c r="F235" s="6" cm="1">
        <f t="array" ref="F235">_xlfn.XLOOKUP(1,(Лист2!A$2:A$505=A235)*(Лист2!B$2:B$505=B235),Лист2!D$2:D$505)</f>
        <v>898</v>
      </c>
      <c r="G235" s="6" cm="1">
        <f t="array" ref="G235">_xlfn.XLOOKUP(1,(Лист2!A$2:A$505=A235)*(Лист2!B$2:B$505=B235),Лист2!E$2:E$505)</f>
        <v>795</v>
      </c>
      <c r="H235">
        <f t="shared" si="6"/>
        <v>82900.5</v>
      </c>
      <c r="I235">
        <f t="shared" si="7"/>
        <v>20</v>
      </c>
    </row>
    <row r="236" ht="14.25" customHeight="1" spans="1:9">
      <c r="A236" s="10">
        <v>43954</v>
      </c>
      <c r="B236" s="11" t="s">
        <v>18</v>
      </c>
      <c r="C236" s="11">
        <v>12924</v>
      </c>
      <c r="D236" s="11">
        <v>1120009.5</v>
      </c>
      <c r="E236" s="6" cm="1">
        <f t="array" ref="E236">_xlfn.XLOOKUP(1,(Лист2!A$2:A$505=A236)*(Лист2!B$2:B$505=B236),Лист2!C$2:C$505)</f>
        <v>15</v>
      </c>
      <c r="F236" s="6" cm="1">
        <f t="array" ref="F236">_xlfn.XLOOKUP(1,(Лист2!A$2:A$505=A236)*(Лист2!B$2:B$505=B236),Лист2!D$2:D$505)</f>
        <v>784</v>
      </c>
      <c r="G236" s="6" cm="1">
        <f t="array" ref="G236">_xlfn.XLOOKUP(1,(Лист2!A$2:A$505=A236)*(Лист2!B$2:B$505=B236),Лист2!E$2:E$505)</f>
        <v>696</v>
      </c>
      <c r="H236">
        <f t="shared" si="6"/>
        <v>74667.3</v>
      </c>
      <c r="I236">
        <f t="shared" si="7"/>
        <v>18</v>
      </c>
    </row>
    <row r="237" ht="14.25" customHeight="1" spans="1:9">
      <c r="A237" s="12">
        <v>43957</v>
      </c>
      <c r="B237" s="13" t="s">
        <v>18</v>
      </c>
      <c r="C237" s="13">
        <v>14061</v>
      </c>
      <c r="D237" s="13">
        <v>1221057</v>
      </c>
      <c r="E237" s="6" cm="1">
        <f t="array" ref="E237">_xlfn.XLOOKUP(1,(Лист2!A$2:A$505=A237)*(Лист2!B$2:B$505=B237),Лист2!C$2:C$505)</f>
        <v>15</v>
      </c>
      <c r="F237" s="6" cm="1">
        <f t="array" ref="F237">_xlfn.XLOOKUP(1,(Лист2!A$2:A$505=A237)*(Лист2!B$2:B$505=B237),Лист2!D$2:D$505)</f>
        <v>839</v>
      </c>
      <c r="G237" s="6" cm="1">
        <f t="array" ref="G237">_xlfn.XLOOKUP(1,(Лист2!A$2:A$505=A237)*(Лист2!B$2:B$505=B237),Лист2!E$2:E$505)</f>
        <v>733</v>
      </c>
      <c r="H237">
        <f t="shared" si="6"/>
        <v>81403.8</v>
      </c>
      <c r="I237">
        <f t="shared" si="7"/>
        <v>19</v>
      </c>
    </row>
    <row r="238" ht="14.25" customHeight="1" spans="1:9">
      <c r="A238" s="10">
        <v>43974</v>
      </c>
      <c r="B238" s="11" t="s">
        <v>18</v>
      </c>
      <c r="C238" s="11">
        <v>21958.5</v>
      </c>
      <c r="D238" s="11">
        <v>1854001.5</v>
      </c>
      <c r="E238" s="6" cm="1">
        <f t="array" ref="E238">_xlfn.XLOOKUP(1,(Лист2!A$2:A$505=A238)*(Лист2!B$2:B$505=B238),Лист2!C$2:C$505)</f>
        <v>17</v>
      </c>
      <c r="F238" s="6" cm="1">
        <f t="array" ref="F238">_xlfn.XLOOKUP(1,(Лист2!A$2:A$505=A238)*(Лист2!B$2:B$505=B238),Лист2!D$2:D$505)</f>
        <v>1294</v>
      </c>
      <c r="G238" s="6" cm="1">
        <f t="array" ref="G238">_xlfn.XLOOKUP(1,(Лист2!A$2:A$505=A238)*(Лист2!B$2:B$505=B238),Лист2!E$2:E$505)</f>
        <v>1155</v>
      </c>
      <c r="H238">
        <f t="shared" si="6"/>
        <v>109058.911764706</v>
      </c>
      <c r="I238">
        <f t="shared" si="7"/>
        <v>21</v>
      </c>
    </row>
    <row r="239" ht="14.25" customHeight="1" spans="1:9">
      <c r="A239" s="12">
        <v>43976</v>
      </c>
      <c r="B239" s="13" t="s">
        <v>18</v>
      </c>
      <c r="C239" s="13">
        <v>17211</v>
      </c>
      <c r="D239" s="13">
        <v>1507867.5</v>
      </c>
      <c r="E239" s="6" cm="1">
        <f t="array" ref="E239">_xlfn.XLOOKUP(1,(Лист2!A$2:A$505=A239)*(Лист2!B$2:B$505=B239),Лист2!C$2:C$505)</f>
        <v>17</v>
      </c>
      <c r="F239" s="6" cm="1">
        <f t="array" ref="F239">_xlfn.XLOOKUP(1,(Лист2!A$2:A$505=A239)*(Лист2!B$2:B$505=B239),Лист2!D$2:D$505)</f>
        <v>1142</v>
      </c>
      <c r="G239" s="6" cm="1">
        <f t="array" ref="G239">_xlfn.XLOOKUP(1,(Лист2!A$2:A$505=A239)*(Лист2!B$2:B$505=B239),Лист2!E$2:E$505)</f>
        <v>1020</v>
      </c>
      <c r="H239">
        <f t="shared" si="6"/>
        <v>88698.0882352941</v>
      </c>
      <c r="I239">
        <f t="shared" si="7"/>
        <v>22</v>
      </c>
    </row>
    <row r="240" ht="14.25" customHeight="1" spans="1:9">
      <c r="A240" s="10">
        <v>43951</v>
      </c>
      <c r="B240" s="11" t="s">
        <v>18</v>
      </c>
      <c r="C240" s="11">
        <v>12753</v>
      </c>
      <c r="D240" s="11">
        <v>1103068.5</v>
      </c>
      <c r="E240" s="6" cm="1">
        <f t="array" ref="E240">_xlfn.XLOOKUP(1,(Лист2!A$2:A$505=A240)*(Лист2!B$2:B$505=B240),Лист2!C$2:C$505)</f>
        <v>15</v>
      </c>
      <c r="F240" s="6" cm="1">
        <f t="array" ref="F240">_xlfn.XLOOKUP(1,(Лист2!A$2:A$505=A240)*(Лист2!B$2:B$505=B240),Лист2!D$2:D$505)</f>
        <v>791</v>
      </c>
      <c r="G240" s="6" cm="1">
        <f t="array" ref="G240">_xlfn.XLOOKUP(1,(Лист2!A$2:A$505=A240)*(Лист2!B$2:B$505=B240),Лист2!E$2:E$505)</f>
        <v>691</v>
      </c>
      <c r="H240">
        <f t="shared" si="6"/>
        <v>73537.9</v>
      </c>
      <c r="I240">
        <f t="shared" si="7"/>
        <v>18</v>
      </c>
    </row>
    <row r="241" ht="14.25" customHeight="1" spans="1:9">
      <c r="A241" s="12">
        <v>43961</v>
      </c>
      <c r="B241" s="13" t="s">
        <v>18</v>
      </c>
      <c r="C241" s="13">
        <v>16435.5</v>
      </c>
      <c r="D241" s="13">
        <v>1471537.5</v>
      </c>
      <c r="E241" s="6" cm="1">
        <f t="array" ref="E241">_xlfn.XLOOKUP(1,(Лист2!A$2:A$505=A241)*(Лист2!B$2:B$505=B241),Лист2!C$2:C$505)</f>
        <v>15</v>
      </c>
      <c r="F241" s="6" cm="1">
        <f t="array" ref="F241">_xlfn.XLOOKUP(1,(Лист2!A$2:A$505=A241)*(Лист2!B$2:B$505=B241),Лист2!D$2:D$505)</f>
        <v>950</v>
      </c>
      <c r="G241" s="6" cm="1">
        <f t="array" ref="G241">_xlfn.XLOOKUP(1,(Лист2!A$2:A$505=A241)*(Лист2!B$2:B$505=B241),Лист2!E$2:E$505)</f>
        <v>848</v>
      </c>
      <c r="H241">
        <f t="shared" si="6"/>
        <v>98102.5</v>
      </c>
      <c r="I241">
        <f t="shared" si="7"/>
        <v>19</v>
      </c>
    </row>
    <row r="242" ht="14.25" customHeight="1" spans="1:9">
      <c r="A242" s="10">
        <v>43959</v>
      </c>
      <c r="B242" s="11" t="s">
        <v>18</v>
      </c>
      <c r="C242" s="11">
        <v>14494.5</v>
      </c>
      <c r="D242" s="11">
        <v>1269786</v>
      </c>
      <c r="E242" s="6" cm="1">
        <f t="array" ref="E242">_xlfn.XLOOKUP(1,(Лист2!A$2:A$505=A242)*(Лист2!B$2:B$505=B242),Лист2!C$2:C$505)</f>
        <v>15</v>
      </c>
      <c r="F242" s="6" cm="1">
        <f t="array" ref="F242">_xlfn.XLOOKUP(1,(Лист2!A$2:A$505=A242)*(Лист2!B$2:B$505=B242),Лист2!D$2:D$505)</f>
        <v>879</v>
      </c>
      <c r="G242" s="6" cm="1">
        <f t="array" ref="G242">_xlfn.XLOOKUP(1,(Лист2!A$2:A$505=A242)*(Лист2!B$2:B$505=B242),Лист2!E$2:E$505)</f>
        <v>768</v>
      </c>
      <c r="H242">
        <f t="shared" si="6"/>
        <v>84652.4</v>
      </c>
      <c r="I242">
        <f t="shared" si="7"/>
        <v>19</v>
      </c>
    </row>
    <row r="243" ht="14.25" customHeight="1" spans="1:9">
      <c r="A243" s="12">
        <v>43958</v>
      </c>
      <c r="B243" s="13" t="s">
        <v>18</v>
      </c>
      <c r="C243" s="13">
        <v>12705</v>
      </c>
      <c r="D243" s="13">
        <v>1123894.5</v>
      </c>
      <c r="E243" s="6" cm="1">
        <f t="array" ref="E243">_xlfn.XLOOKUP(1,(Лист2!A$2:A$505=A243)*(Лист2!B$2:B$505=B243),Лист2!C$2:C$505)</f>
        <v>15</v>
      </c>
      <c r="F243" s="6" cm="1">
        <f t="array" ref="F243">_xlfn.XLOOKUP(1,(Лист2!A$2:A$505=A243)*(Лист2!B$2:B$505=B243),Лист2!D$2:D$505)</f>
        <v>805</v>
      </c>
      <c r="G243" s="6" cm="1">
        <f t="array" ref="G243">_xlfn.XLOOKUP(1,(Лист2!A$2:A$505=A243)*(Лист2!B$2:B$505=B243),Лист2!E$2:E$505)</f>
        <v>703</v>
      </c>
      <c r="H243">
        <f t="shared" si="6"/>
        <v>74926.3</v>
      </c>
      <c r="I243">
        <f t="shared" si="7"/>
        <v>19</v>
      </c>
    </row>
    <row r="244" ht="14.25" customHeight="1" spans="1:9">
      <c r="A244" s="10">
        <v>43975</v>
      </c>
      <c r="B244" s="11" t="s">
        <v>18</v>
      </c>
      <c r="C244" s="11">
        <v>18075</v>
      </c>
      <c r="D244" s="11">
        <v>1548099</v>
      </c>
      <c r="E244" s="6" cm="1">
        <f t="array" ref="E244">_xlfn.XLOOKUP(1,(Лист2!A$2:A$505=A244)*(Лист2!B$2:B$505=B244),Лист2!C$2:C$505)</f>
        <v>17</v>
      </c>
      <c r="F244" s="6" cm="1">
        <f t="array" ref="F244">_xlfn.XLOOKUP(1,(Лист2!A$2:A$505=A244)*(Лист2!B$2:B$505=B244),Лист2!D$2:D$505)</f>
        <v>1128</v>
      </c>
      <c r="G244" s="6" cm="1">
        <f t="array" ref="G244">_xlfn.XLOOKUP(1,(Лист2!A$2:A$505=A244)*(Лист2!B$2:B$505=B244),Лист2!E$2:E$505)</f>
        <v>1001</v>
      </c>
      <c r="H244">
        <f t="shared" si="6"/>
        <v>91064.6470588235</v>
      </c>
      <c r="I244">
        <f t="shared" si="7"/>
        <v>21</v>
      </c>
    </row>
    <row r="245" ht="14.25" customHeight="1" spans="1:9">
      <c r="A245" s="12">
        <v>43967</v>
      </c>
      <c r="B245" s="13" t="s">
        <v>19</v>
      </c>
      <c r="C245" s="13">
        <v>13120.5</v>
      </c>
      <c r="D245" s="13">
        <v>1215033</v>
      </c>
      <c r="E245" s="6" cm="1">
        <f t="array" ref="E245">_xlfn.XLOOKUP(1,(Лист2!A$2:A$505=A245)*(Лист2!B$2:B$505=B245),Лист2!C$2:C$505)</f>
        <v>15</v>
      </c>
      <c r="F245" s="6" cm="1">
        <f t="array" ref="F245">_xlfn.XLOOKUP(1,(Лист2!A$2:A$505=A245)*(Лист2!B$2:B$505=B245),Лист2!D$2:D$505)</f>
        <v>747</v>
      </c>
      <c r="G245" s="6" cm="1">
        <f t="array" ref="G245">_xlfn.XLOOKUP(1,(Лист2!A$2:A$505=A245)*(Лист2!B$2:B$505=B245),Лист2!E$2:E$505)</f>
        <v>647</v>
      </c>
      <c r="H245">
        <f t="shared" si="6"/>
        <v>81002.2</v>
      </c>
      <c r="I245">
        <f t="shared" si="7"/>
        <v>20</v>
      </c>
    </row>
    <row r="246" ht="14.25" customHeight="1" spans="1:9">
      <c r="A246" s="10">
        <v>43970</v>
      </c>
      <c r="B246" s="11" t="s">
        <v>19</v>
      </c>
      <c r="C246" s="11">
        <v>16237.5</v>
      </c>
      <c r="D246" s="11">
        <v>1403047.5</v>
      </c>
      <c r="E246" s="6" cm="1">
        <f t="array" ref="E246">_xlfn.XLOOKUP(1,(Лист2!A$2:A$505=A246)*(Лист2!B$2:B$505=B246),Лист2!C$2:C$505)</f>
        <v>15</v>
      </c>
      <c r="F246" s="6" cm="1">
        <f t="array" ref="F246">_xlfn.XLOOKUP(1,(Лист2!A$2:A$505=A246)*(Лист2!B$2:B$505=B246),Лист2!D$2:D$505)</f>
        <v>930</v>
      </c>
      <c r="G246" s="6" cm="1">
        <f t="array" ref="G246">_xlfn.XLOOKUP(1,(Лист2!A$2:A$505=A246)*(Лист2!B$2:B$505=B246),Лист2!E$2:E$505)</f>
        <v>827</v>
      </c>
      <c r="H246">
        <f t="shared" si="6"/>
        <v>93536.5</v>
      </c>
      <c r="I246">
        <f t="shared" si="7"/>
        <v>21</v>
      </c>
    </row>
    <row r="247" ht="14.25" customHeight="1" spans="1:9">
      <c r="A247" s="12">
        <v>43968</v>
      </c>
      <c r="B247" s="13" t="s">
        <v>19</v>
      </c>
      <c r="C247" s="13">
        <v>11967</v>
      </c>
      <c r="D247" s="13">
        <v>1060489.5</v>
      </c>
      <c r="E247" s="6" cm="1">
        <f t="array" ref="E247">_xlfn.XLOOKUP(1,(Лист2!A$2:A$505=A247)*(Лист2!B$2:B$505=B247),Лист2!C$2:C$505)</f>
        <v>15</v>
      </c>
      <c r="F247" s="6" cm="1">
        <f t="array" ref="F247">_xlfn.XLOOKUP(1,(Лист2!A$2:A$505=A247)*(Лист2!B$2:B$505=B247),Лист2!D$2:D$505)</f>
        <v>692</v>
      </c>
      <c r="G247" s="6" cm="1">
        <f t="array" ref="G247">_xlfn.XLOOKUP(1,(Лист2!A$2:A$505=A247)*(Лист2!B$2:B$505=B247),Лист2!E$2:E$505)</f>
        <v>591</v>
      </c>
      <c r="H247">
        <f t="shared" si="6"/>
        <v>70699.3</v>
      </c>
      <c r="I247">
        <f t="shared" si="7"/>
        <v>20</v>
      </c>
    </row>
    <row r="248" ht="14.25" customHeight="1" spans="1:9">
      <c r="A248" s="10">
        <v>43960</v>
      </c>
      <c r="B248" s="11" t="s">
        <v>19</v>
      </c>
      <c r="C248" s="11">
        <v>12037.5</v>
      </c>
      <c r="D248" s="11">
        <v>1081216.5</v>
      </c>
      <c r="E248" s="6" cm="1">
        <f t="array" ref="E248">_xlfn.XLOOKUP(1,(Лист2!A$2:A$505=A248)*(Лист2!B$2:B$505=B248),Лист2!C$2:C$505)</f>
        <v>15</v>
      </c>
      <c r="F248" s="6" cm="1">
        <f t="array" ref="F248">_xlfn.XLOOKUP(1,(Лист2!A$2:A$505=A248)*(Лист2!B$2:B$505=B248),Лист2!D$2:D$505)</f>
        <v>623</v>
      </c>
      <c r="G248" s="6" cm="1">
        <f t="array" ref="G248">_xlfn.XLOOKUP(1,(Лист2!A$2:A$505=A248)*(Лист2!B$2:B$505=B248),Лист2!E$2:E$505)</f>
        <v>535</v>
      </c>
      <c r="H248">
        <f t="shared" si="6"/>
        <v>72081.1</v>
      </c>
      <c r="I248">
        <f t="shared" si="7"/>
        <v>19</v>
      </c>
    </row>
    <row r="249" ht="14.25" customHeight="1" spans="1:9">
      <c r="A249" s="12">
        <v>43955</v>
      </c>
      <c r="B249" s="13" t="s">
        <v>19</v>
      </c>
      <c r="C249" s="13">
        <v>7087.5</v>
      </c>
      <c r="D249" s="13">
        <v>610855.5</v>
      </c>
      <c r="E249" s="6" cm="1">
        <f t="array" ref="E249">_xlfn.XLOOKUP(1,(Лист2!A$2:A$505=A249)*(Лист2!B$2:B$505=B249),Лист2!C$2:C$505)</f>
        <v>15</v>
      </c>
      <c r="F249" s="6" cm="1">
        <f t="array" ref="F249">_xlfn.XLOOKUP(1,(Лист2!A$2:A$505=A249)*(Лист2!B$2:B$505=B249),Лист2!D$2:D$505)</f>
        <v>390</v>
      </c>
      <c r="G249" s="6" cm="1">
        <f t="array" ref="G249">_xlfn.XLOOKUP(1,(Лист2!A$2:A$505=A249)*(Лист2!B$2:B$505=B249),Лист2!E$2:E$505)</f>
        <v>315</v>
      </c>
      <c r="H249">
        <f t="shared" si="6"/>
        <v>40723.7</v>
      </c>
      <c r="I249">
        <f t="shared" si="7"/>
        <v>19</v>
      </c>
    </row>
    <row r="250" ht="14.25" customHeight="1" spans="1:9">
      <c r="A250" s="10">
        <v>43950</v>
      </c>
      <c r="B250" s="11" t="s">
        <v>20</v>
      </c>
      <c r="C250" s="11">
        <v>25816.5</v>
      </c>
      <c r="D250" s="11">
        <v>2360914.5</v>
      </c>
      <c r="E250" s="6" cm="1">
        <f t="array" ref="E250">_xlfn.XLOOKUP(1,(Лист2!A$2:A$505=A250)*(Лист2!B$2:B$505=B250),Лист2!C$2:C$505)</f>
        <v>18</v>
      </c>
      <c r="F250" s="6" cm="1">
        <f t="array" ref="F250">_xlfn.XLOOKUP(1,(Лист2!A$2:A$505=A250)*(Лист2!B$2:B$505=B250),Лист2!D$2:D$505)</f>
        <v>1599</v>
      </c>
      <c r="G250" s="6" cm="1">
        <f t="array" ref="G250">_xlfn.XLOOKUP(1,(Лист2!A$2:A$505=A250)*(Лист2!B$2:B$505=B250),Лист2!E$2:E$505)</f>
        <v>1450</v>
      </c>
      <c r="H250">
        <f t="shared" si="6"/>
        <v>131161.916666667</v>
      </c>
      <c r="I250">
        <f t="shared" si="7"/>
        <v>18</v>
      </c>
    </row>
    <row r="251" ht="14.25" customHeight="1" spans="1:9">
      <c r="A251" s="12">
        <v>43953</v>
      </c>
      <c r="B251" s="13" t="s">
        <v>19</v>
      </c>
      <c r="C251" s="13">
        <v>4624.5</v>
      </c>
      <c r="D251" s="13">
        <v>433243.5</v>
      </c>
      <c r="E251" s="6" cm="1">
        <f t="array" ref="E251">_xlfn.XLOOKUP(1,(Лист2!A$2:A$505=A251)*(Лист2!B$2:B$505=B251),Лист2!C$2:C$505)</f>
        <v>15</v>
      </c>
      <c r="F251" s="6" cm="1">
        <f t="array" ref="F251">_xlfn.XLOOKUP(1,(Лист2!A$2:A$505=A251)*(Лист2!B$2:B$505=B251),Лист2!D$2:D$505)</f>
        <v>274</v>
      </c>
      <c r="G251" s="6" cm="1">
        <f t="array" ref="G251">_xlfn.XLOOKUP(1,(Лист2!A$2:A$505=A251)*(Лист2!B$2:B$505=B251),Лист2!E$2:E$505)</f>
        <v>203</v>
      </c>
      <c r="H251">
        <f t="shared" si="6"/>
        <v>28882.9</v>
      </c>
      <c r="I251">
        <f t="shared" si="7"/>
        <v>18</v>
      </c>
    </row>
    <row r="252" ht="14.25" customHeight="1" spans="1:9">
      <c r="A252" s="10">
        <v>43977</v>
      </c>
      <c r="B252" s="11" t="s">
        <v>19</v>
      </c>
      <c r="C252" s="11">
        <v>12259.5</v>
      </c>
      <c r="D252" s="11">
        <v>1152054</v>
      </c>
      <c r="E252" s="6" cm="1">
        <f t="array" ref="E252">_xlfn.XLOOKUP(1,(Лист2!A$2:A$505=A252)*(Лист2!B$2:B$505=B252),Лист2!C$2:C$505)</f>
        <v>15</v>
      </c>
      <c r="F252" s="6" cm="1">
        <f t="array" ref="F252">_xlfn.XLOOKUP(1,(Лист2!A$2:A$505=A252)*(Лист2!B$2:B$505=B252),Лист2!D$2:D$505)</f>
        <v>812</v>
      </c>
      <c r="G252" s="6" cm="1">
        <f t="array" ref="G252">_xlfn.XLOOKUP(1,(Лист2!A$2:A$505=A252)*(Лист2!B$2:B$505=B252),Лист2!E$2:E$505)</f>
        <v>711</v>
      </c>
      <c r="H252">
        <f t="shared" si="6"/>
        <v>76803.6</v>
      </c>
      <c r="I252">
        <f t="shared" si="7"/>
        <v>22</v>
      </c>
    </row>
    <row r="253" ht="14.25" customHeight="1" spans="1:9">
      <c r="A253" s="12">
        <v>43952</v>
      </c>
      <c r="B253" s="13" t="s">
        <v>19</v>
      </c>
      <c r="C253" s="13">
        <v>5446.5</v>
      </c>
      <c r="D253" s="13">
        <v>505572</v>
      </c>
      <c r="E253" s="6" cm="1">
        <f t="array" ref="E253">_xlfn.XLOOKUP(1,(Лист2!A$2:A$505=A253)*(Лист2!B$2:B$505=B253),Лист2!C$2:C$505)</f>
        <v>15</v>
      </c>
      <c r="F253" s="6" cm="1">
        <f t="array" ref="F253">_xlfn.XLOOKUP(1,(Лист2!A$2:A$505=A253)*(Лист2!B$2:B$505=B253),Лист2!D$2:D$505)</f>
        <v>294</v>
      </c>
      <c r="G253" s="6" cm="1">
        <f t="array" ref="G253">_xlfn.XLOOKUP(1,(Лист2!A$2:A$505=A253)*(Лист2!B$2:B$505=B253),Лист2!E$2:E$505)</f>
        <v>225</v>
      </c>
      <c r="H253">
        <f t="shared" si="6"/>
        <v>33704.8</v>
      </c>
      <c r="I253">
        <f t="shared" si="7"/>
        <v>18</v>
      </c>
    </row>
    <row r="254" ht="14.25" customHeight="1" spans="1:9">
      <c r="A254" s="10">
        <v>43963</v>
      </c>
      <c r="B254" s="11" t="s">
        <v>19</v>
      </c>
      <c r="C254" s="11">
        <v>11296.5</v>
      </c>
      <c r="D254" s="11">
        <v>989632.5</v>
      </c>
      <c r="E254" s="6" cm="1">
        <f t="array" ref="E254">_xlfn.XLOOKUP(1,(Лист2!A$2:A$505=A254)*(Лист2!B$2:B$505=B254),Лист2!C$2:C$505)</f>
        <v>15</v>
      </c>
      <c r="F254" s="6" cm="1">
        <f t="array" ref="F254">_xlfn.XLOOKUP(1,(Лист2!A$2:A$505=A254)*(Лист2!B$2:B$505=B254),Лист2!D$2:D$505)</f>
        <v>624</v>
      </c>
      <c r="G254" s="6" cm="1">
        <f t="array" ref="G254">_xlfn.XLOOKUP(1,(Лист2!A$2:A$505=A254)*(Лист2!B$2:B$505=B254),Лист2!E$2:E$505)</f>
        <v>538</v>
      </c>
      <c r="H254">
        <f t="shared" si="6"/>
        <v>65975.5</v>
      </c>
      <c r="I254">
        <f t="shared" si="7"/>
        <v>20</v>
      </c>
    </row>
    <row r="255" ht="14.25" customHeight="1" spans="1:9">
      <c r="A255" s="12">
        <v>43972</v>
      </c>
      <c r="B255" s="13" t="s">
        <v>19</v>
      </c>
      <c r="C255" s="13">
        <v>12135</v>
      </c>
      <c r="D255" s="13">
        <v>1103623.5</v>
      </c>
      <c r="E255" s="6" cm="1">
        <f t="array" ref="E255">_xlfn.XLOOKUP(1,(Лист2!A$2:A$505=A255)*(Лист2!B$2:B$505=B255),Лист2!C$2:C$505)</f>
        <v>15</v>
      </c>
      <c r="F255" s="6" cm="1">
        <f t="array" ref="F255">_xlfn.XLOOKUP(1,(Лист2!A$2:A$505=A255)*(Лист2!B$2:B$505=B255),Лист2!D$2:D$505)</f>
        <v>749</v>
      </c>
      <c r="G255" s="6" cm="1">
        <f t="array" ref="G255">_xlfn.XLOOKUP(1,(Лист2!A$2:A$505=A255)*(Лист2!B$2:B$505=B255),Лист2!E$2:E$505)</f>
        <v>652</v>
      </c>
      <c r="H255">
        <f t="shared" si="6"/>
        <v>73574.9</v>
      </c>
      <c r="I255">
        <f t="shared" si="7"/>
        <v>21</v>
      </c>
    </row>
    <row r="256" ht="14.25" customHeight="1" spans="1:9">
      <c r="A256" s="10">
        <v>43971</v>
      </c>
      <c r="B256" s="11" t="s">
        <v>19</v>
      </c>
      <c r="C256" s="11">
        <v>12630</v>
      </c>
      <c r="D256" s="11">
        <v>1104858</v>
      </c>
      <c r="E256" s="6" cm="1">
        <f t="array" ref="E256">_xlfn.XLOOKUP(1,(Лист2!A$2:A$505=A256)*(Лист2!B$2:B$505=B256),Лист2!C$2:C$505)</f>
        <v>15</v>
      </c>
      <c r="F256" s="6" cm="1">
        <f t="array" ref="F256">_xlfn.XLOOKUP(1,(Лист2!A$2:A$505=A256)*(Лист2!B$2:B$505=B256),Лист2!D$2:D$505)</f>
        <v>760</v>
      </c>
      <c r="G256" s="6" cm="1">
        <f t="array" ref="G256">_xlfn.XLOOKUP(1,(Лист2!A$2:A$505=A256)*(Лист2!B$2:B$505=B256),Лист2!E$2:E$505)</f>
        <v>664</v>
      </c>
      <c r="H256">
        <f t="shared" si="6"/>
        <v>73657.2</v>
      </c>
      <c r="I256">
        <f t="shared" si="7"/>
        <v>21</v>
      </c>
    </row>
    <row r="257" ht="14.25" customHeight="1" spans="1:9">
      <c r="A257" s="12">
        <v>43956</v>
      </c>
      <c r="B257" s="13" t="s">
        <v>19</v>
      </c>
      <c r="C257" s="13">
        <v>8223</v>
      </c>
      <c r="D257" s="13">
        <v>694593</v>
      </c>
      <c r="E257" s="6" cm="1">
        <f t="array" ref="E257">_xlfn.XLOOKUP(1,(Лист2!A$2:A$505=A257)*(Лист2!B$2:B$505=B257),Лист2!C$2:C$505)</f>
        <v>15</v>
      </c>
      <c r="F257" s="6" cm="1">
        <f t="array" ref="F257">_xlfn.XLOOKUP(1,(Лист2!A$2:A$505=A257)*(Лист2!B$2:B$505=B257),Лист2!D$2:D$505)</f>
        <v>455</v>
      </c>
      <c r="G257" s="6" cm="1">
        <f t="array" ref="G257">_xlfn.XLOOKUP(1,(Лист2!A$2:A$505=A257)*(Лист2!B$2:B$505=B257),Лист2!E$2:E$505)</f>
        <v>381</v>
      </c>
      <c r="H257">
        <f t="shared" si="6"/>
        <v>46306.2</v>
      </c>
      <c r="I257">
        <f t="shared" si="7"/>
        <v>19</v>
      </c>
    </row>
    <row r="258" ht="14.25" customHeight="1" spans="1:9">
      <c r="A258" s="10">
        <v>43949</v>
      </c>
      <c r="B258" s="11" t="s">
        <v>20</v>
      </c>
      <c r="C258" s="11">
        <v>25149</v>
      </c>
      <c r="D258" s="11">
        <v>2277072</v>
      </c>
      <c r="E258" s="6" cm="1">
        <f t="array" ref="E258">_xlfn.XLOOKUP(1,(Лист2!A$2:A$505=A258)*(Лист2!B$2:B$505=B258),Лист2!C$2:C$505)</f>
        <v>18</v>
      </c>
      <c r="F258" s="6" cm="1">
        <f t="array" ref="F258">_xlfn.XLOOKUP(1,(Лист2!A$2:A$505=A258)*(Лист2!B$2:B$505=B258),Лист2!D$2:D$505)</f>
        <v>1505</v>
      </c>
      <c r="G258" s="6" cm="1">
        <f t="array" ref="G258">_xlfn.XLOOKUP(1,(Лист2!A$2:A$505=A258)*(Лист2!B$2:B$505=B258),Лист2!E$2:E$505)</f>
        <v>1368</v>
      </c>
      <c r="H258">
        <f t="shared" si="6"/>
        <v>126504</v>
      </c>
      <c r="I258">
        <f t="shared" si="7"/>
        <v>18</v>
      </c>
    </row>
    <row r="259" ht="14.25" customHeight="1" spans="1:9">
      <c r="A259" s="12">
        <v>43964</v>
      </c>
      <c r="B259" s="13" t="s">
        <v>19</v>
      </c>
      <c r="C259" s="13">
        <v>10401</v>
      </c>
      <c r="D259" s="13">
        <v>949912.5</v>
      </c>
      <c r="E259" s="6" cm="1">
        <f t="array" ref="E259">_xlfn.XLOOKUP(1,(Лист2!A$2:A$505=A259)*(Лист2!B$2:B$505=B259),Лист2!C$2:C$505)</f>
        <v>15</v>
      </c>
      <c r="F259" s="6" cm="1">
        <f t="array" ref="F259">_xlfn.XLOOKUP(1,(Лист2!A$2:A$505=A259)*(Лист2!B$2:B$505=B259),Лист2!D$2:D$505)</f>
        <v>599</v>
      </c>
      <c r="G259" s="6" cm="1">
        <f t="array" ref="G259">_xlfn.XLOOKUP(1,(Лист2!A$2:A$505=A259)*(Лист2!B$2:B$505=B259),Лист2!E$2:E$505)</f>
        <v>515</v>
      </c>
      <c r="H259">
        <f t="shared" ref="H259:H322" si="8">D259/E259</f>
        <v>63327.5</v>
      </c>
      <c r="I259">
        <f t="shared" ref="I259:I322" si="9">WEEKNUM(A259,2)</f>
        <v>20</v>
      </c>
    </row>
    <row r="260" ht="14.25" customHeight="1" spans="1:9">
      <c r="A260" s="10">
        <v>43982</v>
      </c>
      <c r="B260" s="11" t="s">
        <v>18</v>
      </c>
      <c r="C260" s="11">
        <v>17689.5</v>
      </c>
      <c r="D260" s="11">
        <v>1592119.5</v>
      </c>
      <c r="E260" s="6" cm="1">
        <f t="array" ref="E260">_xlfn.XLOOKUP(1,(Лист2!A$2:A$505=A260)*(Лист2!B$2:B$505=B260),Лист2!C$2:C$505)</f>
        <v>17</v>
      </c>
      <c r="F260" s="6" cm="1">
        <f t="array" ref="F260">_xlfn.XLOOKUP(1,(Лист2!A$2:A$505=A260)*(Лист2!B$2:B$505=B260),Лист2!D$2:D$505)</f>
        <v>1186</v>
      </c>
      <c r="G260" s="6" cm="1">
        <f t="array" ref="G260">_xlfn.XLOOKUP(1,(Лист2!A$2:A$505=A260)*(Лист2!B$2:B$505=B260),Лист2!E$2:E$505)</f>
        <v>1054</v>
      </c>
      <c r="H260">
        <f t="shared" si="8"/>
        <v>93654.0882352941</v>
      </c>
      <c r="I260">
        <f t="shared" si="9"/>
        <v>22</v>
      </c>
    </row>
    <row r="261" ht="14.25" customHeight="1" spans="1:9">
      <c r="A261" s="12">
        <v>43954</v>
      </c>
      <c r="B261" s="13" t="s">
        <v>19</v>
      </c>
      <c r="C261" s="13">
        <v>8127</v>
      </c>
      <c r="D261" s="13">
        <v>665302.5</v>
      </c>
      <c r="E261" s="6" cm="1">
        <f t="array" ref="E261">_xlfn.XLOOKUP(1,(Лист2!A$2:A$505=A261)*(Лист2!B$2:B$505=B261),Лист2!C$2:C$505)</f>
        <v>15</v>
      </c>
      <c r="F261" s="6" cm="1">
        <f t="array" ref="F261">_xlfn.XLOOKUP(1,(Лист2!A$2:A$505=A261)*(Лист2!B$2:B$505=B261),Лист2!D$2:D$505)</f>
        <v>455</v>
      </c>
      <c r="G261" s="6" cm="1">
        <f t="array" ref="G261">_xlfn.XLOOKUP(1,(Лист2!A$2:A$505=A261)*(Лист2!B$2:B$505=B261),Лист2!E$2:E$505)</f>
        <v>384</v>
      </c>
      <c r="H261">
        <f t="shared" si="8"/>
        <v>44353.5</v>
      </c>
      <c r="I261">
        <f t="shared" si="9"/>
        <v>18</v>
      </c>
    </row>
    <row r="262" ht="14.25" customHeight="1" spans="1:9">
      <c r="A262" s="10">
        <v>43981</v>
      </c>
      <c r="B262" s="11" t="s">
        <v>18</v>
      </c>
      <c r="C262" s="11">
        <v>27250.5</v>
      </c>
      <c r="D262" s="11">
        <v>2457252</v>
      </c>
      <c r="E262" s="6" cm="1">
        <f t="array" ref="E262">_xlfn.XLOOKUP(1,(Лист2!A$2:A$505=A262)*(Лист2!B$2:B$505=B262),Лист2!C$2:C$505)</f>
        <v>17</v>
      </c>
      <c r="F262" s="6" cm="1">
        <f t="array" ref="F262">_xlfn.XLOOKUP(1,(Лист2!A$2:A$505=A262)*(Лист2!B$2:B$505=B262),Лист2!D$2:D$505)</f>
        <v>1697</v>
      </c>
      <c r="G262" s="6" cm="1">
        <f t="array" ref="G262">_xlfn.XLOOKUP(1,(Лист2!A$2:A$505=A262)*(Лист2!B$2:B$505=B262),Лист2!E$2:E$505)</f>
        <v>1499</v>
      </c>
      <c r="H262">
        <f t="shared" si="8"/>
        <v>144544.235294118</v>
      </c>
      <c r="I262">
        <f t="shared" si="9"/>
        <v>22</v>
      </c>
    </row>
    <row r="263" ht="14.25" customHeight="1" spans="1:9">
      <c r="A263" s="12">
        <v>43957</v>
      </c>
      <c r="B263" s="13" t="s">
        <v>19</v>
      </c>
      <c r="C263" s="13">
        <v>8464.5</v>
      </c>
      <c r="D263" s="13">
        <v>739291.5</v>
      </c>
      <c r="E263" s="6" cm="1">
        <f t="array" ref="E263">_xlfn.XLOOKUP(1,(Лист2!A$2:A$505=A263)*(Лист2!B$2:B$505=B263),Лист2!C$2:C$505)</f>
        <v>15</v>
      </c>
      <c r="F263" s="6" cm="1">
        <f t="array" ref="F263">_xlfn.XLOOKUP(1,(Лист2!A$2:A$505=A263)*(Лист2!B$2:B$505=B263),Лист2!D$2:D$505)</f>
        <v>467</v>
      </c>
      <c r="G263" s="6" cm="1">
        <f t="array" ref="G263">_xlfn.XLOOKUP(1,(Лист2!A$2:A$505=A263)*(Лист2!B$2:B$505=B263),Лист2!E$2:E$505)</f>
        <v>389</v>
      </c>
      <c r="H263">
        <f t="shared" si="8"/>
        <v>49286.1</v>
      </c>
      <c r="I263">
        <f t="shared" si="9"/>
        <v>19</v>
      </c>
    </row>
    <row r="264" ht="14.25" customHeight="1" spans="1:9">
      <c r="A264" s="10">
        <v>43974</v>
      </c>
      <c r="B264" s="11" t="s">
        <v>19</v>
      </c>
      <c r="C264" s="11">
        <v>14167.5</v>
      </c>
      <c r="D264" s="11">
        <v>1315075.5</v>
      </c>
      <c r="E264" s="6" cm="1">
        <f t="array" ref="E264">_xlfn.XLOOKUP(1,(Лист2!A$2:A$505=A264)*(Лист2!B$2:B$505=B264),Лист2!C$2:C$505)</f>
        <v>15</v>
      </c>
      <c r="F264" s="6" cm="1">
        <f t="array" ref="F264">_xlfn.XLOOKUP(1,(Лист2!A$2:A$505=A264)*(Лист2!B$2:B$505=B264),Лист2!D$2:D$505)</f>
        <v>840</v>
      </c>
      <c r="G264" s="6" cm="1">
        <f t="array" ref="G264">_xlfn.XLOOKUP(1,(Лист2!A$2:A$505=A264)*(Лист2!B$2:B$505=B264),Лист2!E$2:E$505)</f>
        <v>725</v>
      </c>
      <c r="H264">
        <f t="shared" si="8"/>
        <v>87671.7</v>
      </c>
      <c r="I264">
        <f t="shared" si="9"/>
        <v>21</v>
      </c>
    </row>
    <row r="265" ht="14.25" customHeight="1" spans="1:9">
      <c r="A265" s="12">
        <v>43979</v>
      </c>
      <c r="B265" s="13" t="s">
        <v>18</v>
      </c>
      <c r="C265" s="13">
        <v>16500</v>
      </c>
      <c r="D265" s="13">
        <v>1487928</v>
      </c>
      <c r="E265" s="6" cm="1">
        <f t="array" ref="E265">_xlfn.XLOOKUP(1,(Лист2!A$2:A$505=A265)*(Лист2!B$2:B$505=B265),Лист2!C$2:C$505)</f>
        <v>17</v>
      </c>
      <c r="F265" s="6" cm="1">
        <f t="array" ref="F265">_xlfn.XLOOKUP(1,(Лист2!A$2:A$505=A265)*(Лист2!B$2:B$505=B265),Лист2!D$2:D$505)</f>
        <v>1097</v>
      </c>
      <c r="G265" s="6" cm="1">
        <f t="array" ref="G265">_xlfn.XLOOKUP(1,(Лист2!A$2:A$505=A265)*(Лист2!B$2:B$505=B265),Лист2!E$2:E$505)</f>
        <v>968</v>
      </c>
      <c r="H265">
        <f t="shared" si="8"/>
        <v>87525.1764705882</v>
      </c>
      <c r="I265">
        <f t="shared" si="9"/>
        <v>22</v>
      </c>
    </row>
    <row r="266" ht="14.25" customHeight="1" spans="1:9">
      <c r="A266" s="10">
        <v>43976</v>
      </c>
      <c r="B266" s="11" t="s">
        <v>19</v>
      </c>
      <c r="C266" s="11">
        <v>13260</v>
      </c>
      <c r="D266" s="11">
        <v>1230687</v>
      </c>
      <c r="E266" s="6" cm="1">
        <f t="array" ref="E266">_xlfn.XLOOKUP(1,(Лист2!A$2:A$505=A266)*(Лист2!B$2:B$505=B266),Лист2!C$2:C$505)</f>
        <v>15</v>
      </c>
      <c r="F266" s="6" cm="1">
        <f t="array" ref="F266">_xlfn.XLOOKUP(1,(Лист2!A$2:A$505=A266)*(Лист2!B$2:B$505=B266),Лист2!D$2:D$505)</f>
        <v>835</v>
      </c>
      <c r="G266" s="6" cm="1">
        <f t="array" ref="G266">_xlfn.XLOOKUP(1,(Лист2!A$2:A$505=A266)*(Лист2!B$2:B$505=B266),Лист2!E$2:E$505)</f>
        <v>736</v>
      </c>
      <c r="H266">
        <f t="shared" si="8"/>
        <v>82045.8</v>
      </c>
      <c r="I266">
        <f t="shared" si="9"/>
        <v>22</v>
      </c>
    </row>
    <row r="267" ht="14.25" customHeight="1" spans="1:9">
      <c r="A267" s="12">
        <v>43951</v>
      </c>
      <c r="B267" s="13" t="s">
        <v>19</v>
      </c>
      <c r="C267" s="13">
        <v>4285.5</v>
      </c>
      <c r="D267" s="13">
        <v>404691</v>
      </c>
      <c r="E267" s="6" cm="1">
        <f t="array" ref="E267">_xlfn.XLOOKUP(1,(Лист2!A$2:A$505=A267)*(Лист2!B$2:B$505=B267),Лист2!C$2:C$505)</f>
        <v>15</v>
      </c>
      <c r="F267" s="6" cm="1">
        <f t="array" ref="F267">_xlfn.XLOOKUP(1,(Лист2!A$2:A$505=A267)*(Лист2!B$2:B$505=B267),Лист2!D$2:D$505)</f>
        <v>262</v>
      </c>
      <c r="G267" s="6" cm="1">
        <f t="array" ref="G267">_xlfn.XLOOKUP(1,(Лист2!A$2:A$505=A267)*(Лист2!B$2:B$505=B267),Лист2!E$2:E$505)</f>
        <v>195</v>
      </c>
      <c r="H267">
        <f t="shared" si="8"/>
        <v>26979.4</v>
      </c>
      <c r="I267">
        <f t="shared" si="9"/>
        <v>18</v>
      </c>
    </row>
    <row r="268" ht="14.25" customHeight="1" spans="1:9">
      <c r="A268" s="10">
        <v>43961</v>
      </c>
      <c r="B268" s="11" t="s">
        <v>19</v>
      </c>
      <c r="C268" s="11">
        <v>13440</v>
      </c>
      <c r="D268" s="11">
        <v>1198285.5</v>
      </c>
      <c r="E268" s="6" cm="1">
        <f t="array" ref="E268">_xlfn.XLOOKUP(1,(Лист2!A$2:A$505=A268)*(Лист2!B$2:B$505=B268),Лист2!C$2:C$505)</f>
        <v>15</v>
      </c>
      <c r="F268" s="6" cm="1">
        <f t="array" ref="F268">_xlfn.XLOOKUP(1,(Лист2!A$2:A$505=A268)*(Лист2!B$2:B$505=B268),Лист2!D$2:D$505)</f>
        <v>706</v>
      </c>
      <c r="G268" s="6" cm="1">
        <f t="array" ref="G268">_xlfn.XLOOKUP(1,(Лист2!A$2:A$505=A268)*(Лист2!B$2:B$505=B268),Лист2!E$2:E$505)</f>
        <v>608</v>
      </c>
      <c r="H268">
        <f t="shared" si="8"/>
        <v>79885.7</v>
      </c>
      <c r="I268">
        <f t="shared" si="9"/>
        <v>19</v>
      </c>
    </row>
    <row r="269" ht="14.25" customHeight="1" spans="1:9">
      <c r="A269" s="12">
        <v>43959</v>
      </c>
      <c r="B269" s="13" t="s">
        <v>19</v>
      </c>
      <c r="C269" s="13">
        <v>9058.5</v>
      </c>
      <c r="D269" s="13">
        <v>798759</v>
      </c>
      <c r="E269" s="6" cm="1">
        <f t="array" ref="E269">_xlfn.XLOOKUP(1,(Лист2!A$2:A$505=A269)*(Лист2!B$2:B$505=B269),Лист2!C$2:C$505)</f>
        <v>15</v>
      </c>
      <c r="F269" s="6" cm="1">
        <f t="array" ref="F269">_xlfn.XLOOKUP(1,(Лист2!A$2:A$505=A269)*(Лист2!B$2:B$505=B269),Лист2!D$2:D$505)</f>
        <v>492</v>
      </c>
      <c r="G269" s="6" cm="1">
        <f t="array" ref="G269">_xlfn.XLOOKUP(1,(Лист2!A$2:A$505=A269)*(Лист2!B$2:B$505=B269),Лист2!E$2:E$505)</f>
        <v>412</v>
      </c>
      <c r="H269">
        <f t="shared" si="8"/>
        <v>53250.6</v>
      </c>
      <c r="I269">
        <f t="shared" si="9"/>
        <v>19</v>
      </c>
    </row>
    <row r="270" ht="14.25" customHeight="1" spans="1:9">
      <c r="A270" s="10">
        <v>43958</v>
      </c>
      <c r="B270" s="11" t="s">
        <v>19</v>
      </c>
      <c r="C270" s="11">
        <v>8719.5</v>
      </c>
      <c r="D270" s="11">
        <v>769276.5</v>
      </c>
      <c r="E270" s="6" cm="1">
        <f t="array" ref="E270">_xlfn.XLOOKUP(1,(Лист2!A$2:A$505=A270)*(Лист2!B$2:B$505=B270),Лист2!C$2:C$505)</f>
        <v>15</v>
      </c>
      <c r="F270" s="6" cm="1">
        <f t="array" ref="F270">_xlfn.XLOOKUP(1,(Лист2!A$2:A$505=A270)*(Лист2!B$2:B$505=B270),Лист2!D$2:D$505)</f>
        <v>480</v>
      </c>
      <c r="G270" s="6" cm="1">
        <f t="array" ref="G270">_xlfn.XLOOKUP(1,(Лист2!A$2:A$505=A270)*(Лист2!B$2:B$505=B270),Лист2!E$2:E$505)</f>
        <v>398</v>
      </c>
      <c r="H270">
        <f t="shared" si="8"/>
        <v>51285.1</v>
      </c>
      <c r="I270">
        <f t="shared" si="9"/>
        <v>19</v>
      </c>
    </row>
    <row r="271" ht="14.25" customHeight="1" spans="1:9">
      <c r="A271" s="12">
        <v>43975</v>
      </c>
      <c r="B271" s="13" t="s">
        <v>19</v>
      </c>
      <c r="C271" s="13">
        <v>12666</v>
      </c>
      <c r="D271" s="13">
        <v>1184865</v>
      </c>
      <c r="E271" s="6" cm="1">
        <f t="array" ref="E271">_xlfn.XLOOKUP(1,(Лист2!A$2:A$505=A271)*(Лист2!B$2:B$505=B271),Лист2!C$2:C$505)</f>
        <v>15</v>
      </c>
      <c r="F271" s="6" cm="1">
        <f t="array" ref="F271">_xlfn.XLOOKUP(1,(Лист2!A$2:A$505=A271)*(Лист2!B$2:B$505=B271),Лист2!D$2:D$505)</f>
        <v>779</v>
      </c>
      <c r="G271" s="6" cm="1">
        <f t="array" ref="G271">_xlfn.XLOOKUP(1,(Лист2!A$2:A$505=A271)*(Лист2!B$2:B$505=B271),Лист2!E$2:E$505)</f>
        <v>673</v>
      </c>
      <c r="H271">
        <f t="shared" si="8"/>
        <v>78991</v>
      </c>
      <c r="I271">
        <f t="shared" si="9"/>
        <v>21</v>
      </c>
    </row>
    <row r="272" ht="14.25" customHeight="1" spans="1:9">
      <c r="A272" s="10">
        <v>43967</v>
      </c>
      <c r="B272" s="11" t="s">
        <v>20</v>
      </c>
      <c r="C272" s="11">
        <v>34563</v>
      </c>
      <c r="D272" s="11">
        <v>2922883.5</v>
      </c>
      <c r="E272" s="6" cm="1">
        <f t="array" ref="E272">_xlfn.XLOOKUP(1,(Лист2!A$2:A$505=A272)*(Лист2!B$2:B$505=B272),Лист2!C$2:C$505)</f>
        <v>19</v>
      </c>
      <c r="F272" s="6" cm="1">
        <f t="array" ref="F272">_xlfn.XLOOKUP(1,(Лист2!A$2:A$505=A272)*(Лист2!B$2:B$505=B272),Лист2!D$2:D$505)</f>
        <v>2039</v>
      </c>
      <c r="G272" s="6" cm="1">
        <f t="array" ref="G272">_xlfn.XLOOKUP(1,(Лист2!A$2:A$505=A272)*(Лист2!B$2:B$505=B272),Лист2!E$2:E$505)</f>
        <v>1868</v>
      </c>
      <c r="H272">
        <f t="shared" si="8"/>
        <v>153835.973684211</v>
      </c>
      <c r="I272">
        <f t="shared" si="9"/>
        <v>20</v>
      </c>
    </row>
    <row r="273" ht="14.25" customHeight="1" spans="1:9">
      <c r="A273" s="12">
        <v>43970</v>
      </c>
      <c r="B273" s="13" t="s">
        <v>20</v>
      </c>
      <c r="C273" s="13">
        <v>28882.5</v>
      </c>
      <c r="D273" s="13">
        <v>2446530</v>
      </c>
      <c r="E273" s="6" cm="1">
        <f t="array" ref="E273">_xlfn.XLOOKUP(1,(Лист2!A$2:A$505=A273)*(Лист2!B$2:B$505=B273),Лист2!C$2:C$505)</f>
        <v>19</v>
      </c>
      <c r="F273" s="6" cm="1">
        <f t="array" ref="F273">_xlfn.XLOOKUP(1,(Лист2!A$2:A$505=A273)*(Лист2!B$2:B$505=B273),Лист2!D$2:D$505)</f>
        <v>1831</v>
      </c>
      <c r="G273" s="6" cm="1">
        <f t="array" ref="G273">_xlfn.XLOOKUP(1,(Лист2!A$2:A$505=A273)*(Лист2!B$2:B$505=B273),Лист2!E$2:E$505)</f>
        <v>1667</v>
      </c>
      <c r="H273">
        <f t="shared" si="8"/>
        <v>128764.736842105</v>
      </c>
      <c r="I273">
        <f t="shared" si="9"/>
        <v>21</v>
      </c>
    </row>
    <row r="274" ht="14.25" customHeight="1" spans="1:9">
      <c r="A274" s="10">
        <v>43968</v>
      </c>
      <c r="B274" s="11" t="s">
        <v>20</v>
      </c>
      <c r="C274" s="11">
        <v>28275</v>
      </c>
      <c r="D274" s="11">
        <v>2435632.5</v>
      </c>
      <c r="E274" s="6" cm="1">
        <f t="array" ref="E274">_xlfn.XLOOKUP(1,(Лист2!A$2:A$505=A274)*(Лист2!B$2:B$505=B274),Лист2!C$2:C$505)</f>
        <v>19</v>
      </c>
      <c r="F274" s="6" cm="1">
        <f t="array" ref="F274">_xlfn.XLOOKUP(1,(Лист2!A$2:A$505=A274)*(Лист2!B$2:B$505=B274),Лист2!D$2:D$505)</f>
        <v>1790</v>
      </c>
      <c r="G274" s="6" cm="1">
        <f t="array" ref="G274">_xlfn.XLOOKUP(1,(Лист2!A$2:A$505=A274)*(Лист2!B$2:B$505=B274),Лист2!E$2:E$505)</f>
        <v>1633</v>
      </c>
      <c r="H274">
        <f t="shared" si="8"/>
        <v>128191.184210526</v>
      </c>
      <c r="I274">
        <f t="shared" si="9"/>
        <v>20</v>
      </c>
    </row>
    <row r="275" ht="14.25" customHeight="1" spans="1:9">
      <c r="A275" s="12">
        <v>43960</v>
      </c>
      <c r="B275" s="13" t="s">
        <v>20</v>
      </c>
      <c r="C275" s="13">
        <v>26271</v>
      </c>
      <c r="D275" s="13">
        <v>2384937</v>
      </c>
      <c r="E275" s="6" cm="1">
        <f t="array" ref="E275">_xlfn.XLOOKUP(1,(Лист2!A$2:A$505=A275)*(Лист2!B$2:B$505=B275),Лист2!C$2:C$505)</f>
        <v>19</v>
      </c>
      <c r="F275" s="6" cm="1">
        <f t="array" ref="F275">_xlfn.XLOOKUP(1,(Лист2!A$2:A$505=A275)*(Лист2!B$2:B$505=B275),Лист2!D$2:D$505)</f>
        <v>1542</v>
      </c>
      <c r="G275" s="6" cm="1">
        <f t="array" ref="G275">_xlfn.XLOOKUP(1,(Лист2!A$2:A$505=A275)*(Лист2!B$2:B$505=B275),Лист2!E$2:E$505)</f>
        <v>1412</v>
      </c>
      <c r="H275">
        <f t="shared" si="8"/>
        <v>125523</v>
      </c>
      <c r="I275">
        <f t="shared" si="9"/>
        <v>19</v>
      </c>
    </row>
    <row r="276" ht="14.25" customHeight="1" spans="1:9">
      <c r="A276" s="10">
        <v>43955</v>
      </c>
      <c r="B276" s="11" t="s">
        <v>20</v>
      </c>
      <c r="C276" s="11">
        <v>23587.5</v>
      </c>
      <c r="D276" s="11">
        <v>2155668</v>
      </c>
      <c r="E276" s="6" cm="1">
        <f t="array" ref="E276">_xlfn.XLOOKUP(1,(Лист2!A$2:A$505=A276)*(Лист2!B$2:B$505=B276),Лист2!C$2:C$505)</f>
        <v>19</v>
      </c>
      <c r="F276" s="6" cm="1">
        <f t="array" ref="F276">_xlfn.XLOOKUP(1,(Лист2!A$2:A$505=A276)*(Лист2!B$2:B$505=B276),Лист2!D$2:D$505)</f>
        <v>1479</v>
      </c>
      <c r="G276" s="6" cm="1">
        <f t="array" ref="G276">_xlfn.XLOOKUP(1,(Лист2!A$2:A$505=A276)*(Лист2!B$2:B$505=B276),Лист2!E$2:E$505)</f>
        <v>1346</v>
      </c>
      <c r="H276">
        <f t="shared" si="8"/>
        <v>113456.210526316</v>
      </c>
      <c r="I276">
        <f t="shared" si="9"/>
        <v>19</v>
      </c>
    </row>
    <row r="277" ht="14.25" customHeight="1" spans="1:9">
      <c r="A277" s="12">
        <v>43953</v>
      </c>
      <c r="B277" s="13" t="s">
        <v>20</v>
      </c>
      <c r="C277" s="13">
        <v>18427.5</v>
      </c>
      <c r="D277" s="13">
        <v>1682851.5</v>
      </c>
      <c r="E277" s="6" cm="1">
        <f t="array" ref="E277">_xlfn.XLOOKUP(1,(Лист2!A$2:A$505=A277)*(Лист2!B$2:B$505=B277),Лист2!C$2:C$505)</f>
        <v>19</v>
      </c>
      <c r="F277" s="6" cm="1">
        <f t="array" ref="F277">_xlfn.XLOOKUP(1,(Лист2!A$2:A$505=A277)*(Лист2!B$2:B$505=B277),Лист2!D$2:D$505)</f>
        <v>1206</v>
      </c>
      <c r="G277" s="6" cm="1">
        <f t="array" ref="G277">_xlfn.XLOOKUP(1,(Лист2!A$2:A$505=A277)*(Лист2!B$2:B$505=B277),Лист2!E$2:E$505)</f>
        <v>1080</v>
      </c>
      <c r="H277">
        <f t="shared" si="8"/>
        <v>88571.1315789474</v>
      </c>
      <c r="I277">
        <f t="shared" si="9"/>
        <v>18</v>
      </c>
    </row>
    <row r="278" ht="14.25" customHeight="1" spans="1:9">
      <c r="A278" s="10">
        <v>43977</v>
      </c>
      <c r="B278" s="11" t="s">
        <v>20</v>
      </c>
      <c r="C278" s="11">
        <v>27156</v>
      </c>
      <c r="D278" s="11">
        <v>2410803</v>
      </c>
      <c r="E278" s="6" cm="1">
        <f t="array" ref="E278">_xlfn.XLOOKUP(1,(Лист2!A$2:A$505=A278)*(Лист2!B$2:B$505=B278),Лист2!C$2:C$505)</f>
        <v>20</v>
      </c>
      <c r="F278" s="6" cm="1">
        <f t="array" ref="F278">_xlfn.XLOOKUP(1,(Лист2!A$2:A$505=A278)*(Лист2!B$2:B$505=B278),Лист2!D$2:D$505)</f>
        <v>1814</v>
      </c>
      <c r="G278" s="6" cm="1">
        <f t="array" ref="G278">_xlfn.XLOOKUP(1,(Лист2!A$2:A$505=A278)*(Лист2!B$2:B$505=B278),Лист2!E$2:E$505)</f>
        <v>1655</v>
      </c>
      <c r="H278">
        <f t="shared" si="8"/>
        <v>120540.15</v>
      </c>
      <c r="I278">
        <f t="shared" si="9"/>
        <v>22</v>
      </c>
    </row>
    <row r="279" ht="14.25" customHeight="1" spans="1:9">
      <c r="A279" s="12">
        <v>43952</v>
      </c>
      <c r="B279" s="13" t="s">
        <v>20</v>
      </c>
      <c r="C279" s="13">
        <v>35190</v>
      </c>
      <c r="D279" s="13">
        <v>3168510</v>
      </c>
      <c r="E279" s="6" cm="1">
        <f t="array" ref="E279">_xlfn.XLOOKUP(1,(Лист2!A$2:A$505=A279)*(Лист2!B$2:B$505=B279),Лист2!C$2:C$505)</f>
        <v>19</v>
      </c>
      <c r="F279" s="6" cm="1">
        <f t="array" ref="F279">_xlfn.XLOOKUP(1,(Лист2!A$2:A$505=A279)*(Лист2!B$2:B$505=B279),Лист2!D$2:D$505)</f>
        <v>1987</v>
      </c>
      <c r="G279" s="6" cm="1">
        <f t="array" ref="G279">_xlfn.XLOOKUP(1,(Лист2!A$2:A$505=A279)*(Лист2!B$2:B$505=B279),Лист2!E$2:E$505)</f>
        <v>1791</v>
      </c>
      <c r="H279">
        <f t="shared" si="8"/>
        <v>166763.684210526</v>
      </c>
      <c r="I279">
        <f t="shared" si="9"/>
        <v>18</v>
      </c>
    </row>
    <row r="280" ht="14.25" customHeight="1" spans="1:9">
      <c r="A280" s="10">
        <v>43963</v>
      </c>
      <c r="B280" s="11" t="s">
        <v>20</v>
      </c>
      <c r="C280" s="11">
        <v>25483.5</v>
      </c>
      <c r="D280" s="11">
        <v>2243160</v>
      </c>
      <c r="E280" s="6" cm="1">
        <f t="array" ref="E280">_xlfn.XLOOKUP(1,(Лист2!A$2:A$505=A280)*(Лист2!B$2:B$505=B280),Лист2!C$2:C$505)</f>
        <v>19</v>
      </c>
      <c r="F280" s="6" cm="1">
        <f t="array" ref="F280">_xlfn.XLOOKUP(1,(Лист2!A$2:A$505=A280)*(Лист2!B$2:B$505=B280),Лист2!D$2:D$505)</f>
        <v>1598</v>
      </c>
      <c r="G280" s="6" cm="1">
        <f t="array" ref="G280">_xlfn.XLOOKUP(1,(Лист2!A$2:A$505=A280)*(Лист2!B$2:B$505=B280),Лист2!E$2:E$505)</f>
        <v>1454</v>
      </c>
      <c r="H280">
        <f t="shared" si="8"/>
        <v>118061.052631579</v>
      </c>
      <c r="I280">
        <f t="shared" si="9"/>
        <v>20</v>
      </c>
    </row>
    <row r="281" ht="14.25" customHeight="1" spans="1:9">
      <c r="A281" s="12">
        <v>43972</v>
      </c>
      <c r="B281" s="13" t="s">
        <v>20</v>
      </c>
      <c r="C281" s="13">
        <v>25362</v>
      </c>
      <c r="D281" s="13">
        <v>2198935.5</v>
      </c>
      <c r="E281" s="6" cm="1">
        <f t="array" ref="E281">_xlfn.XLOOKUP(1,(Лист2!A$2:A$505=A281)*(Лист2!B$2:B$505=B281),Лист2!C$2:C$505)</f>
        <v>19</v>
      </c>
      <c r="F281" s="6" cm="1">
        <f t="array" ref="F281">_xlfn.XLOOKUP(1,(Лист2!A$2:A$505=A281)*(Лист2!B$2:B$505=B281),Лист2!D$2:D$505)</f>
        <v>1650</v>
      </c>
      <c r="G281" s="6" cm="1">
        <f t="array" ref="G281">_xlfn.XLOOKUP(1,(Лист2!A$2:A$505=A281)*(Лист2!B$2:B$505=B281),Лист2!E$2:E$505)</f>
        <v>1505</v>
      </c>
      <c r="H281">
        <f t="shared" si="8"/>
        <v>115733.447368421</v>
      </c>
      <c r="I281">
        <f t="shared" si="9"/>
        <v>21</v>
      </c>
    </row>
    <row r="282" ht="14.25" customHeight="1" spans="1:9">
      <c r="A282" s="10">
        <v>43971</v>
      </c>
      <c r="B282" s="11" t="s">
        <v>20</v>
      </c>
      <c r="C282" s="11">
        <v>28849.5</v>
      </c>
      <c r="D282" s="11">
        <v>2520759</v>
      </c>
      <c r="E282" s="6" cm="1">
        <f t="array" ref="E282">_xlfn.XLOOKUP(1,(Лист2!A$2:A$505=A282)*(Лист2!B$2:B$505=B282),Лист2!C$2:C$505)</f>
        <v>19</v>
      </c>
      <c r="F282" s="6" cm="1">
        <f t="array" ref="F282">_xlfn.XLOOKUP(1,(Лист2!A$2:A$505=A282)*(Лист2!B$2:B$505=B282),Лист2!D$2:D$505)</f>
        <v>1823</v>
      </c>
      <c r="G282" s="6" cm="1">
        <f t="array" ref="G282">_xlfn.XLOOKUP(1,(Лист2!A$2:A$505=A282)*(Лист2!B$2:B$505=B282),Лист2!E$2:E$505)</f>
        <v>1678</v>
      </c>
      <c r="H282">
        <f t="shared" si="8"/>
        <v>132671.526315789</v>
      </c>
      <c r="I282">
        <f t="shared" si="9"/>
        <v>21</v>
      </c>
    </row>
    <row r="283" ht="14.25" customHeight="1" spans="1:9">
      <c r="A283" s="12">
        <v>43956</v>
      </c>
      <c r="B283" s="13" t="s">
        <v>20</v>
      </c>
      <c r="C283" s="13">
        <v>26367</v>
      </c>
      <c r="D283" s="13">
        <v>2380333.5</v>
      </c>
      <c r="E283" s="6" cm="1">
        <f t="array" ref="E283">_xlfn.XLOOKUP(1,(Лист2!A$2:A$505=A283)*(Лист2!B$2:B$505=B283),Лист2!C$2:C$505)</f>
        <v>19</v>
      </c>
      <c r="F283" s="6" cm="1">
        <f t="array" ref="F283">_xlfn.XLOOKUP(1,(Лист2!A$2:A$505=A283)*(Лист2!B$2:B$505=B283),Лист2!D$2:D$505)</f>
        <v>1622</v>
      </c>
      <c r="G283" s="6" cm="1">
        <f t="array" ref="G283">_xlfn.XLOOKUP(1,(Лист2!A$2:A$505=A283)*(Лист2!B$2:B$505=B283),Лист2!E$2:E$505)</f>
        <v>1482</v>
      </c>
      <c r="H283">
        <f t="shared" si="8"/>
        <v>125280.710526316</v>
      </c>
      <c r="I283">
        <f t="shared" si="9"/>
        <v>19</v>
      </c>
    </row>
    <row r="284" ht="14.25" customHeight="1" spans="1:9">
      <c r="A284" s="10">
        <v>43964</v>
      </c>
      <c r="B284" s="11" t="s">
        <v>20</v>
      </c>
      <c r="C284" s="11">
        <v>25539</v>
      </c>
      <c r="D284" s="11">
        <v>2263651.5</v>
      </c>
      <c r="E284" s="6" cm="1">
        <f t="array" ref="E284">_xlfn.XLOOKUP(1,(Лист2!A$2:A$505=A284)*(Лист2!B$2:B$505=B284),Лист2!C$2:C$505)</f>
        <v>19</v>
      </c>
      <c r="F284" s="6" cm="1">
        <f t="array" ref="F284">_xlfn.XLOOKUP(1,(Лист2!A$2:A$505=A284)*(Лист2!B$2:B$505=B284),Лист2!D$2:D$505)</f>
        <v>1605</v>
      </c>
      <c r="G284" s="6" cm="1">
        <f t="array" ref="G284">_xlfn.XLOOKUP(1,(Лист2!A$2:A$505=A284)*(Лист2!B$2:B$505=B284),Лист2!E$2:E$505)</f>
        <v>1447</v>
      </c>
      <c r="H284">
        <f t="shared" si="8"/>
        <v>119139.552631579</v>
      </c>
      <c r="I284">
        <f t="shared" si="9"/>
        <v>20</v>
      </c>
    </row>
    <row r="285" ht="14.25" customHeight="1" spans="1:9">
      <c r="A285" s="12">
        <v>43982</v>
      </c>
      <c r="B285" s="13" t="s">
        <v>19</v>
      </c>
      <c r="C285" s="13">
        <v>14808</v>
      </c>
      <c r="D285" s="13">
        <v>1336789.5</v>
      </c>
      <c r="E285" s="6" cm="1">
        <f t="array" ref="E285">_xlfn.XLOOKUP(1,(Лист2!A$2:A$505=A285)*(Лист2!B$2:B$505=B285),Лист2!C$2:C$505)</f>
        <v>16</v>
      </c>
      <c r="F285" s="6" cm="1">
        <f t="array" ref="F285">_xlfn.XLOOKUP(1,(Лист2!A$2:A$505=A285)*(Лист2!B$2:B$505=B285),Лист2!D$2:D$505)</f>
        <v>917</v>
      </c>
      <c r="G285" s="6" cm="1">
        <f t="array" ref="G285">_xlfn.XLOOKUP(1,(Лист2!A$2:A$505=A285)*(Лист2!B$2:B$505=B285),Лист2!E$2:E$505)</f>
        <v>802</v>
      </c>
      <c r="H285">
        <f t="shared" si="8"/>
        <v>83549.34375</v>
      </c>
      <c r="I285">
        <f t="shared" si="9"/>
        <v>22</v>
      </c>
    </row>
    <row r="286" ht="14.25" customHeight="1" spans="1:9">
      <c r="A286" s="10">
        <v>43954</v>
      </c>
      <c r="B286" s="11" t="s">
        <v>20</v>
      </c>
      <c r="C286" s="11">
        <v>21343.5</v>
      </c>
      <c r="D286" s="11">
        <v>1906557</v>
      </c>
      <c r="E286" s="6" cm="1">
        <f t="array" ref="E286">_xlfn.XLOOKUP(1,(Лист2!A$2:A$505=A286)*(Лист2!B$2:B$505=B286),Лист2!C$2:C$505)</f>
        <v>19</v>
      </c>
      <c r="F286" s="6" cm="1">
        <f t="array" ref="F286">_xlfn.XLOOKUP(1,(Лист2!A$2:A$505=A286)*(Лист2!B$2:B$505=B286),Лист2!D$2:D$505)</f>
        <v>1314</v>
      </c>
      <c r="G286" s="6" cm="1">
        <f t="array" ref="G286">_xlfn.XLOOKUP(1,(Лист2!A$2:A$505=A286)*(Лист2!B$2:B$505=B286),Лист2!E$2:E$505)</f>
        <v>1192</v>
      </c>
      <c r="H286">
        <f t="shared" si="8"/>
        <v>100345.105263158</v>
      </c>
      <c r="I286">
        <f t="shared" si="9"/>
        <v>18</v>
      </c>
    </row>
    <row r="287" ht="14.25" customHeight="1" spans="1:9">
      <c r="A287" s="12">
        <v>43981</v>
      </c>
      <c r="B287" s="13" t="s">
        <v>19</v>
      </c>
      <c r="C287" s="13">
        <v>17946</v>
      </c>
      <c r="D287" s="13">
        <v>1609090.5</v>
      </c>
      <c r="E287" s="6" cm="1">
        <f t="array" ref="E287">_xlfn.XLOOKUP(1,(Лист2!A$2:A$505=A287)*(Лист2!B$2:B$505=B287),Лист2!C$2:C$505)</f>
        <v>16</v>
      </c>
      <c r="F287" s="6" cm="1">
        <f t="array" ref="F287">_xlfn.XLOOKUP(1,(Лист2!A$2:A$505=A287)*(Лист2!B$2:B$505=B287),Лист2!D$2:D$505)</f>
        <v>1048</v>
      </c>
      <c r="G287" s="6" cm="1">
        <f t="array" ref="G287">_xlfn.XLOOKUP(1,(Лист2!A$2:A$505=A287)*(Лист2!B$2:B$505=B287),Лист2!E$2:E$505)</f>
        <v>918</v>
      </c>
      <c r="H287">
        <f t="shared" si="8"/>
        <v>100568.15625</v>
      </c>
      <c r="I287">
        <f t="shared" si="9"/>
        <v>22</v>
      </c>
    </row>
    <row r="288" ht="14.25" customHeight="1" spans="1:9">
      <c r="A288" s="10">
        <v>43957</v>
      </c>
      <c r="B288" s="11" t="s">
        <v>20</v>
      </c>
      <c r="C288" s="11">
        <v>24337.5</v>
      </c>
      <c r="D288" s="11">
        <v>2159350.5</v>
      </c>
      <c r="E288" s="6" cm="1">
        <f t="array" ref="E288">_xlfn.XLOOKUP(1,(Лист2!A$2:A$505=A288)*(Лист2!B$2:B$505=B288),Лист2!C$2:C$505)</f>
        <v>19</v>
      </c>
      <c r="F288" s="6" cm="1">
        <f t="array" ref="F288">_xlfn.XLOOKUP(1,(Лист2!A$2:A$505=A288)*(Лист2!B$2:B$505=B288),Лист2!D$2:D$505)</f>
        <v>1509</v>
      </c>
      <c r="G288" s="6" cm="1">
        <f t="array" ref="G288">_xlfn.XLOOKUP(1,(Лист2!A$2:A$505=A288)*(Лист2!B$2:B$505=B288),Лист2!E$2:E$505)</f>
        <v>1374</v>
      </c>
      <c r="H288">
        <f t="shared" si="8"/>
        <v>113650.026315789</v>
      </c>
      <c r="I288">
        <f t="shared" si="9"/>
        <v>19</v>
      </c>
    </row>
    <row r="289" ht="14.25" customHeight="1" spans="1:9">
      <c r="A289" s="12">
        <v>43974</v>
      </c>
      <c r="B289" s="13" t="s">
        <v>20</v>
      </c>
      <c r="C289" s="13">
        <v>36997.5</v>
      </c>
      <c r="D289" s="13">
        <v>3089140.5</v>
      </c>
      <c r="E289" s="6" cm="1">
        <f t="array" ref="E289">_xlfn.XLOOKUP(1,(Лист2!A$2:A$505=A289)*(Лист2!B$2:B$505=B289),Лист2!C$2:C$505)</f>
        <v>19</v>
      </c>
      <c r="F289" s="6" cm="1">
        <f t="array" ref="F289">_xlfn.XLOOKUP(1,(Лист2!A$2:A$505=A289)*(Лист2!B$2:B$505=B289),Лист2!D$2:D$505)</f>
        <v>2195</v>
      </c>
      <c r="G289" s="6" cm="1">
        <f t="array" ref="G289">_xlfn.XLOOKUP(1,(Лист2!A$2:A$505=A289)*(Лист2!B$2:B$505=B289),Лист2!E$2:E$505)</f>
        <v>1999</v>
      </c>
      <c r="H289">
        <f t="shared" si="8"/>
        <v>162586.342105263</v>
      </c>
      <c r="I289">
        <f t="shared" si="9"/>
        <v>21</v>
      </c>
    </row>
    <row r="290" ht="14.25" customHeight="1" spans="1:9">
      <c r="A290" s="10">
        <v>43979</v>
      </c>
      <c r="B290" s="11" t="s">
        <v>19</v>
      </c>
      <c r="C290" s="11">
        <v>13864.5</v>
      </c>
      <c r="D290" s="11">
        <v>1239747</v>
      </c>
      <c r="E290" s="6" cm="1">
        <f t="array" ref="E290">_xlfn.XLOOKUP(1,(Лист2!A$2:A$505=A290)*(Лист2!B$2:B$505=B290),Лист2!C$2:C$505)</f>
        <v>16</v>
      </c>
      <c r="F290" s="6" cm="1">
        <f t="array" ref="F290">_xlfn.XLOOKUP(1,(Лист2!A$2:A$505=A290)*(Лист2!B$2:B$505=B290),Лист2!D$2:D$505)</f>
        <v>876</v>
      </c>
      <c r="G290" s="6" cm="1">
        <f t="array" ref="G290">_xlfn.XLOOKUP(1,(Лист2!A$2:A$505=A290)*(Лист2!B$2:B$505=B290),Лист2!E$2:E$505)</f>
        <v>762</v>
      </c>
      <c r="H290">
        <f t="shared" si="8"/>
        <v>77484.1875</v>
      </c>
      <c r="I290">
        <f t="shared" si="9"/>
        <v>22</v>
      </c>
    </row>
    <row r="291" ht="14.25" customHeight="1" spans="1:9">
      <c r="A291" s="12">
        <v>43976</v>
      </c>
      <c r="B291" s="13" t="s">
        <v>20</v>
      </c>
      <c r="C291" s="13">
        <v>28494</v>
      </c>
      <c r="D291" s="13">
        <v>2512803</v>
      </c>
      <c r="E291" s="6" cm="1">
        <f t="array" ref="E291">_xlfn.XLOOKUP(1,(Лист2!A$2:A$505=A291)*(Лист2!B$2:B$505=B291),Лист2!C$2:C$505)</f>
        <v>20</v>
      </c>
      <c r="F291" s="6" cm="1">
        <f t="array" ref="F291">_xlfn.XLOOKUP(1,(Лист2!A$2:A$505=A291)*(Лист2!B$2:B$505=B291),Лист2!D$2:D$505)</f>
        <v>1899</v>
      </c>
      <c r="G291" s="6" cm="1">
        <f t="array" ref="G291">_xlfn.XLOOKUP(1,(Лист2!A$2:A$505=A291)*(Лист2!B$2:B$505=B291),Лист2!E$2:E$505)</f>
        <v>1738</v>
      </c>
      <c r="H291">
        <f t="shared" si="8"/>
        <v>125640.15</v>
      </c>
      <c r="I291">
        <f t="shared" si="9"/>
        <v>22</v>
      </c>
    </row>
    <row r="292" ht="14.25" customHeight="1" spans="1:9">
      <c r="A292" s="10">
        <v>43951</v>
      </c>
      <c r="B292" s="11" t="s">
        <v>20</v>
      </c>
      <c r="C292" s="11">
        <v>27883.5</v>
      </c>
      <c r="D292" s="11">
        <v>2560080</v>
      </c>
      <c r="E292" s="6" cm="1">
        <f t="array" ref="E292">_xlfn.XLOOKUP(1,(Лист2!A$2:A$505=A292)*(Лист2!B$2:B$505=B292),Лист2!C$2:C$505)</f>
        <v>19</v>
      </c>
      <c r="F292" s="6" cm="1">
        <f t="array" ref="F292">_xlfn.XLOOKUP(1,(Лист2!A$2:A$505=A292)*(Лист2!B$2:B$505=B292),Лист2!D$2:D$505)</f>
        <v>1662</v>
      </c>
      <c r="G292" s="6" cm="1">
        <f t="array" ref="G292">_xlfn.XLOOKUP(1,(Лист2!A$2:A$505=A292)*(Лист2!B$2:B$505=B292),Лист2!E$2:E$505)</f>
        <v>1506</v>
      </c>
      <c r="H292">
        <f t="shared" si="8"/>
        <v>134741.052631579</v>
      </c>
      <c r="I292">
        <f t="shared" si="9"/>
        <v>18</v>
      </c>
    </row>
    <row r="293" ht="14.25" customHeight="1" spans="1:9">
      <c r="A293" s="12">
        <v>43961</v>
      </c>
      <c r="B293" s="13" t="s">
        <v>20</v>
      </c>
      <c r="C293" s="13">
        <v>31224</v>
      </c>
      <c r="D293" s="13">
        <v>2767270.5</v>
      </c>
      <c r="E293" s="6" cm="1">
        <f t="array" ref="E293">_xlfn.XLOOKUP(1,(Лист2!A$2:A$505=A293)*(Лист2!B$2:B$505=B293),Лист2!C$2:C$505)</f>
        <v>19</v>
      </c>
      <c r="F293" s="6" cm="1">
        <f t="array" ref="F293">_xlfn.XLOOKUP(1,(Лист2!A$2:A$505=A293)*(Лист2!B$2:B$505=B293),Лист2!D$2:D$505)</f>
        <v>1836</v>
      </c>
      <c r="G293" s="6" cm="1">
        <f t="array" ref="G293">_xlfn.XLOOKUP(1,(Лист2!A$2:A$505=A293)*(Лист2!B$2:B$505=B293),Лист2!E$2:E$505)</f>
        <v>1680</v>
      </c>
      <c r="H293">
        <f t="shared" si="8"/>
        <v>145645.815789474</v>
      </c>
      <c r="I293">
        <f t="shared" si="9"/>
        <v>19</v>
      </c>
    </row>
    <row r="294" ht="14.25" customHeight="1" spans="1:9">
      <c r="A294" s="10">
        <v>43959</v>
      </c>
      <c r="B294" s="11" t="s">
        <v>20</v>
      </c>
      <c r="C294" s="11">
        <v>25020</v>
      </c>
      <c r="D294" s="11">
        <v>2235960</v>
      </c>
      <c r="E294" s="6" cm="1">
        <f t="array" ref="E294">_xlfn.XLOOKUP(1,(Лист2!A$2:A$505=A294)*(Лист2!B$2:B$505=B294),Лист2!C$2:C$505)</f>
        <v>19</v>
      </c>
      <c r="F294" s="6" cm="1">
        <f t="array" ref="F294">_xlfn.XLOOKUP(1,(Лист2!A$2:A$505=A294)*(Лист2!B$2:B$505=B294),Лист2!D$2:D$505)</f>
        <v>1520</v>
      </c>
      <c r="G294" s="6" cm="1">
        <f t="array" ref="G294">_xlfn.XLOOKUP(1,(Лист2!A$2:A$505=A294)*(Лист2!B$2:B$505=B294),Лист2!E$2:E$505)</f>
        <v>1380</v>
      </c>
      <c r="H294">
        <f t="shared" si="8"/>
        <v>117682.105263158</v>
      </c>
      <c r="I294">
        <f t="shared" si="9"/>
        <v>19</v>
      </c>
    </row>
    <row r="295" ht="14.25" customHeight="1" spans="1:9">
      <c r="A295" s="12">
        <v>43958</v>
      </c>
      <c r="B295" s="13" t="s">
        <v>20</v>
      </c>
      <c r="C295" s="13">
        <v>26184</v>
      </c>
      <c r="D295" s="13">
        <v>2308336.5</v>
      </c>
      <c r="E295" s="6" cm="1">
        <f t="array" ref="E295">_xlfn.XLOOKUP(1,(Лист2!A$2:A$505=A295)*(Лист2!B$2:B$505=B295),Лист2!C$2:C$505)</f>
        <v>19</v>
      </c>
      <c r="F295" s="6" cm="1">
        <f t="array" ref="F295">_xlfn.XLOOKUP(1,(Лист2!A$2:A$505=A295)*(Лист2!B$2:B$505=B295),Лист2!D$2:D$505)</f>
        <v>1580</v>
      </c>
      <c r="G295" s="6" cm="1">
        <f t="array" ref="G295">_xlfn.XLOOKUP(1,(Лист2!A$2:A$505=A295)*(Лист2!B$2:B$505=B295),Лист2!E$2:E$505)</f>
        <v>1435</v>
      </c>
      <c r="H295">
        <f t="shared" si="8"/>
        <v>121491.394736842</v>
      </c>
      <c r="I295">
        <f t="shared" si="9"/>
        <v>19</v>
      </c>
    </row>
    <row r="296" ht="14.25" customHeight="1" spans="1:9">
      <c r="A296" s="10">
        <v>43975</v>
      </c>
      <c r="B296" s="11" t="s">
        <v>20</v>
      </c>
      <c r="C296" s="11">
        <v>29824.5</v>
      </c>
      <c r="D296" s="11">
        <v>2526909</v>
      </c>
      <c r="E296" s="6" cm="1">
        <f t="array" ref="E296">_xlfn.XLOOKUP(1,(Лист2!A$2:A$505=A296)*(Лист2!B$2:B$505=B296),Лист2!C$2:C$505)</f>
        <v>19</v>
      </c>
      <c r="F296" s="6" cm="1">
        <f t="array" ref="F296">_xlfn.XLOOKUP(1,(Лист2!A$2:A$505=A296)*(Лист2!B$2:B$505=B296),Лист2!D$2:D$505)</f>
        <v>1868</v>
      </c>
      <c r="G296" s="6" cm="1">
        <f t="array" ref="G296">_xlfn.XLOOKUP(1,(Лист2!A$2:A$505=A296)*(Лист2!B$2:B$505=B296),Лист2!E$2:E$505)</f>
        <v>1706</v>
      </c>
      <c r="H296">
        <f t="shared" si="8"/>
        <v>132995.210526316</v>
      </c>
      <c r="I296">
        <f t="shared" si="9"/>
        <v>21</v>
      </c>
    </row>
    <row r="297" ht="14.25" customHeight="1" spans="1:9">
      <c r="A297" s="12">
        <v>43950</v>
      </c>
      <c r="B297" s="13" t="s">
        <v>21</v>
      </c>
      <c r="C297" s="13">
        <v>208351.5</v>
      </c>
      <c r="D297" s="13">
        <v>21615333</v>
      </c>
      <c r="E297" s="6" cm="1">
        <f t="array" ref="E297">_xlfn.XLOOKUP(1,(Лист2!A$2:A$505=A297)*(Лист2!B$2:B$505=B297),Лист2!C$2:C$505)</f>
        <v>59</v>
      </c>
      <c r="F297" s="6" cm="1">
        <f t="array" ref="F297">_xlfn.XLOOKUP(1,(Лист2!A$2:A$505=A297)*(Лист2!B$2:B$505=B297),Лист2!D$2:D$505)</f>
        <v>13186</v>
      </c>
      <c r="G297" s="6" cm="1">
        <f t="array" ref="G297">_xlfn.XLOOKUP(1,(Лист2!A$2:A$505=A297)*(Лист2!B$2:B$505=B297),Лист2!E$2:E$505)</f>
        <v>12251</v>
      </c>
      <c r="H297">
        <f t="shared" si="8"/>
        <v>366361.576271186</v>
      </c>
      <c r="I297">
        <f t="shared" si="9"/>
        <v>18</v>
      </c>
    </row>
    <row r="298" ht="14.25" customHeight="1" spans="1:9">
      <c r="A298" s="10">
        <v>43949</v>
      </c>
      <c r="B298" s="11" t="s">
        <v>21</v>
      </c>
      <c r="C298" s="11">
        <v>204637.5</v>
      </c>
      <c r="D298" s="11">
        <v>21114898.5</v>
      </c>
      <c r="E298" s="6" cm="1">
        <f t="array" ref="E298">_xlfn.XLOOKUP(1,(Лист2!A$2:A$505=A298)*(Лист2!B$2:B$505=B298),Лист2!C$2:C$505)</f>
        <v>59</v>
      </c>
      <c r="F298" s="6" cm="1">
        <f t="array" ref="F298">_xlfn.XLOOKUP(1,(Лист2!A$2:A$505=A298)*(Лист2!B$2:B$505=B298),Лист2!D$2:D$505)</f>
        <v>12943</v>
      </c>
      <c r="G298" s="6" cm="1">
        <f t="array" ref="G298">_xlfn.XLOOKUP(1,(Лист2!A$2:A$505=A298)*(Лист2!B$2:B$505=B298),Лист2!E$2:E$505)</f>
        <v>12072</v>
      </c>
      <c r="H298">
        <f t="shared" si="8"/>
        <v>357879.63559322</v>
      </c>
      <c r="I298">
        <f t="shared" si="9"/>
        <v>18</v>
      </c>
    </row>
    <row r="299" ht="14.25" customHeight="1" spans="1:9">
      <c r="A299" s="12">
        <v>43982</v>
      </c>
      <c r="B299" s="13" t="s">
        <v>20</v>
      </c>
      <c r="C299" s="13">
        <v>31372.5</v>
      </c>
      <c r="D299" s="13">
        <v>2794324.5</v>
      </c>
      <c r="E299" s="6" cm="1">
        <f t="array" ref="E299">_xlfn.XLOOKUP(1,(Лист2!A$2:A$505=A299)*(Лист2!B$2:B$505=B299),Лист2!C$2:C$505)</f>
        <v>21</v>
      </c>
      <c r="F299" s="6" cm="1">
        <f t="array" ref="F299">_xlfn.XLOOKUP(1,(Лист2!A$2:A$505=A299)*(Лист2!B$2:B$505=B299),Лист2!D$2:D$505)</f>
        <v>2056</v>
      </c>
      <c r="G299" s="6" cm="1">
        <f t="array" ref="G299">_xlfn.XLOOKUP(1,(Лист2!A$2:A$505=A299)*(Лист2!B$2:B$505=B299),Лист2!E$2:E$505)</f>
        <v>1879</v>
      </c>
      <c r="H299">
        <f t="shared" si="8"/>
        <v>133063.071428571</v>
      </c>
      <c r="I299">
        <f t="shared" si="9"/>
        <v>22</v>
      </c>
    </row>
    <row r="300" ht="14.25" customHeight="1" spans="1:9">
      <c r="A300" s="10">
        <v>43981</v>
      </c>
      <c r="B300" s="11" t="s">
        <v>20</v>
      </c>
      <c r="C300" s="11">
        <v>34681.5</v>
      </c>
      <c r="D300" s="11">
        <v>3005334</v>
      </c>
      <c r="E300" s="6" cm="1">
        <f t="array" ref="E300">_xlfn.XLOOKUP(1,(Лист2!A$2:A$505=A300)*(Лист2!B$2:B$505=B300),Лист2!C$2:C$505)</f>
        <v>20</v>
      </c>
      <c r="F300" s="6" cm="1">
        <f t="array" ref="F300">_xlfn.XLOOKUP(1,(Лист2!A$2:A$505=A300)*(Лист2!B$2:B$505=B300),Лист2!D$2:D$505)</f>
        <v>2174</v>
      </c>
      <c r="G300" s="6" cm="1">
        <f t="array" ref="G300">_xlfn.XLOOKUP(1,(Лист2!A$2:A$505=A300)*(Лист2!B$2:B$505=B300),Лист2!E$2:E$505)</f>
        <v>1957</v>
      </c>
      <c r="H300">
        <f t="shared" si="8"/>
        <v>150266.7</v>
      </c>
      <c r="I300">
        <f t="shared" si="9"/>
        <v>22</v>
      </c>
    </row>
    <row r="301" ht="14.25" customHeight="1" spans="1:9">
      <c r="A301" s="12">
        <v>43979</v>
      </c>
      <c r="B301" s="13" t="s">
        <v>20</v>
      </c>
      <c r="C301" s="13">
        <v>28197</v>
      </c>
      <c r="D301" s="13">
        <v>2559211.5</v>
      </c>
      <c r="E301" s="6" cm="1">
        <f t="array" ref="E301">_xlfn.XLOOKUP(1,(Лист2!A$2:A$505=A301)*(Лист2!B$2:B$505=B301),Лист2!C$2:C$505)</f>
        <v>20</v>
      </c>
      <c r="F301" s="6" cm="1">
        <f t="array" ref="F301">_xlfn.XLOOKUP(1,(Лист2!A$2:A$505=A301)*(Лист2!B$2:B$505=B301),Лист2!D$2:D$505)</f>
        <v>1875</v>
      </c>
      <c r="G301" s="6" cm="1">
        <f t="array" ref="G301">_xlfn.XLOOKUP(1,(Лист2!A$2:A$505=A301)*(Лист2!B$2:B$505=B301),Лист2!E$2:E$505)</f>
        <v>1701</v>
      </c>
      <c r="H301">
        <f t="shared" si="8"/>
        <v>127960.575</v>
      </c>
      <c r="I301">
        <f t="shared" si="9"/>
        <v>22</v>
      </c>
    </row>
    <row r="302" ht="14.25" customHeight="1" spans="1:9">
      <c r="A302" s="10">
        <v>43967</v>
      </c>
      <c r="B302" s="11" t="s">
        <v>21</v>
      </c>
      <c r="C302" s="11">
        <v>236551.5</v>
      </c>
      <c r="D302" s="11">
        <v>23689383</v>
      </c>
      <c r="E302" s="6" cm="1">
        <f t="array" ref="E302">_xlfn.XLOOKUP(1,(Лист2!A$2:A$505=A302)*(Лист2!B$2:B$505=B302),Лист2!C$2:C$505)</f>
        <v>60</v>
      </c>
      <c r="F302" s="6" cm="1">
        <f t="array" ref="F302">_xlfn.XLOOKUP(1,(Лист2!A$2:A$505=A302)*(Лист2!B$2:B$505=B302),Лист2!D$2:D$505)</f>
        <v>14049</v>
      </c>
      <c r="G302" s="6" cm="1">
        <f t="array" ref="G302">_xlfn.XLOOKUP(1,(Лист2!A$2:A$505=A302)*(Лист2!B$2:B$505=B302),Лист2!E$2:E$505)</f>
        <v>13118</v>
      </c>
      <c r="H302">
        <f t="shared" si="8"/>
        <v>394823.05</v>
      </c>
      <c r="I302">
        <f t="shared" si="9"/>
        <v>20</v>
      </c>
    </row>
    <row r="303" ht="14.25" customHeight="1" spans="1:9">
      <c r="A303" s="12">
        <v>43970</v>
      </c>
      <c r="B303" s="13" t="s">
        <v>21</v>
      </c>
      <c r="C303" s="13">
        <v>223597.5</v>
      </c>
      <c r="D303" s="13">
        <v>21945858</v>
      </c>
      <c r="E303" s="6" cm="1">
        <f t="array" ref="E303">_xlfn.XLOOKUP(1,(Лист2!A$2:A$505=A303)*(Лист2!B$2:B$505=B303),Лист2!C$2:C$505)</f>
        <v>60</v>
      </c>
      <c r="F303" s="6" cm="1">
        <f t="array" ref="F303">_xlfn.XLOOKUP(1,(Лист2!A$2:A$505=A303)*(Лист2!B$2:B$505=B303),Лист2!D$2:D$505)</f>
        <v>13867</v>
      </c>
      <c r="G303" s="6" cm="1">
        <f t="array" ref="G303">_xlfn.XLOOKUP(1,(Лист2!A$2:A$505=A303)*(Лист2!B$2:B$505=B303),Лист2!E$2:E$505)</f>
        <v>12987</v>
      </c>
      <c r="H303">
        <f t="shared" si="8"/>
        <v>365764.3</v>
      </c>
      <c r="I303">
        <f t="shared" si="9"/>
        <v>21</v>
      </c>
    </row>
    <row r="304" ht="14.25" customHeight="1" spans="1:9">
      <c r="A304" s="10">
        <v>43968</v>
      </c>
      <c r="B304" s="11" t="s">
        <v>21</v>
      </c>
      <c r="C304" s="11">
        <v>193363.5</v>
      </c>
      <c r="D304" s="11">
        <v>19546386</v>
      </c>
      <c r="E304" s="6" cm="1">
        <f t="array" ref="E304">_xlfn.XLOOKUP(1,(Лист2!A$2:A$505=A304)*(Лист2!B$2:B$505=B304),Лист2!C$2:C$505)</f>
        <v>60</v>
      </c>
      <c r="F304" s="6" cm="1">
        <f t="array" ref="F304">_xlfn.XLOOKUP(1,(Лист2!A$2:A$505=A304)*(Лист2!B$2:B$505=B304),Лист2!D$2:D$505)</f>
        <v>11698</v>
      </c>
      <c r="G304" s="6" cm="1">
        <f t="array" ref="G304">_xlfn.XLOOKUP(1,(Лист2!A$2:A$505=A304)*(Лист2!B$2:B$505=B304),Лист2!E$2:E$505)</f>
        <v>10989</v>
      </c>
      <c r="H304">
        <f t="shared" si="8"/>
        <v>325773.1</v>
      </c>
      <c r="I304">
        <f t="shared" si="9"/>
        <v>20</v>
      </c>
    </row>
    <row r="305" ht="14.25" customHeight="1" spans="1:9">
      <c r="A305" s="12">
        <v>43960</v>
      </c>
      <c r="B305" s="13" t="s">
        <v>21</v>
      </c>
      <c r="C305" s="13">
        <v>188319</v>
      </c>
      <c r="D305" s="13">
        <v>19218631.5</v>
      </c>
      <c r="E305" s="6" cm="1">
        <f t="array" ref="E305">_xlfn.XLOOKUP(1,(Лист2!A$2:A$505=A305)*(Лист2!B$2:B$505=B305),Лист2!C$2:C$505)</f>
        <v>59</v>
      </c>
      <c r="F305" s="6" cm="1">
        <f t="array" ref="F305">_xlfn.XLOOKUP(1,(Лист2!A$2:A$505=A305)*(Лист2!B$2:B$505=B305),Лист2!D$2:D$505)</f>
        <v>12016</v>
      </c>
      <c r="G305" s="6" cm="1">
        <f t="array" ref="G305">_xlfn.XLOOKUP(1,(Лист2!A$2:A$505=A305)*(Лист2!B$2:B$505=B305),Лист2!E$2:E$505)</f>
        <v>11137</v>
      </c>
      <c r="H305">
        <f t="shared" si="8"/>
        <v>325739.516949153</v>
      </c>
      <c r="I305">
        <f t="shared" si="9"/>
        <v>19</v>
      </c>
    </row>
    <row r="306" ht="14.25" customHeight="1" spans="1:9">
      <c r="A306" s="10">
        <v>43955</v>
      </c>
      <c r="B306" s="11" t="s">
        <v>21</v>
      </c>
      <c r="C306" s="11">
        <v>237544.5</v>
      </c>
      <c r="D306" s="11">
        <v>24292218</v>
      </c>
      <c r="E306" s="6" cm="1">
        <f t="array" ref="E306">_xlfn.XLOOKUP(1,(Лист2!A$2:A$505=A306)*(Лист2!B$2:B$505=B306),Лист2!C$2:C$505)</f>
        <v>59</v>
      </c>
      <c r="F306" s="6" cm="1">
        <f t="array" ref="F306">_xlfn.XLOOKUP(1,(Лист2!A$2:A$505=A306)*(Лист2!B$2:B$505=B306),Лист2!D$2:D$505)</f>
        <v>14423</v>
      </c>
      <c r="G306" s="6" cm="1">
        <f t="array" ref="G306">_xlfn.XLOOKUP(1,(Лист2!A$2:A$505=A306)*(Лист2!B$2:B$505=B306),Лист2!E$2:E$505)</f>
        <v>13432</v>
      </c>
      <c r="H306">
        <f t="shared" si="8"/>
        <v>411732.508474576</v>
      </c>
      <c r="I306">
        <f t="shared" si="9"/>
        <v>19</v>
      </c>
    </row>
    <row r="307" ht="14.25" customHeight="1" spans="1:9">
      <c r="A307" s="12">
        <v>43950</v>
      </c>
      <c r="B307" s="13" t="s">
        <v>22</v>
      </c>
      <c r="C307" s="13">
        <v>203209.5</v>
      </c>
      <c r="D307" s="13">
        <v>20871391.5</v>
      </c>
      <c r="E307" s="6" cm="1">
        <f t="array" ref="E307">_xlfn.XLOOKUP(1,(Лист2!A$2:A$505=A307)*(Лист2!B$2:B$505=B307),Лист2!C$2:C$505)</f>
        <v>54</v>
      </c>
      <c r="F307" s="6" cm="1">
        <f t="array" ref="F307">_xlfn.XLOOKUP(1,(Лист2!A$2:A$505=A307)*(Лист2!B$2:B$505=B307),Лист2!D$2:D$505)</f>
        <v>12747</v>
      </c>
      <c r="G307" s="6" cm="1">
        <f t="array" ref="G307">_xlfn.XLOOKUP(1,(Лист2!A$2:A$505=A307)*(Лист2!B$2:B$505=B307),Лист2!E$2:E$505)</f>
        <v>11884</v>
      </c>
      <c r="H307">
        <f t="shared" si="8"/>
        <v>386507.25</v>
      </c>
      <c r="I307">
        <f t="shared" si="9"/>
        <v>18</v>
      </c>
    </row>
    <row r="308" ht="14.25" customHeight="1" spans="1:9">
      <c r="A308" s="10">
        <v>43953</v>
      </c>
      <c r="B308" s="11" t="s">
        <v>21</v>
      </c>
      <c r="C308" s="11">
        <v>185979</v>
      </c>
      <c r="D308" s="11">
        <v>19625364</v>
      </c>
      <c r="E308" s="6" cm="1">
        <f t="array" ref="E308">_xlfn.XLOOKUP(1,(Лист2!A$2:A$505=A308)*(Лист2!B$2:B$505=B308),Лист2!C$2:C$505)</f>
        <v>59</v>
      </c>
      <c r="F308" s="6" cm="1">
        <f t="array" ref="F308">_xlfn.XLOOKUP(1,(Лист2!A$2:A$505=A308)*(Лист2!B$2:B$505=B308),Лист2!D$2:D$505)</f>
        <v>12429</v>
      </c>
      <c r="G308" s="6" cm="1">
        <f t="array" ref="G308">_xlfn.XLOOKUP(1,(Лист2!A$2:A$505=A308)*(Лист2!B$2:B$505=B308),Лист2!E$2:E$505)</f>
        <v>11477</v>
      </c>
      <c r="H308">
        <f t="shared" si="8"/>
        <v>332633.288135593</v>
      </c>
      <c r="I308">
        <f t="shared" si="9"/>
        <v>18</v>
      </c>
    </row>
    <row r="309" ht="14.25" customHeight="1" spans="1:9">
      <c r="A309" s="12">
        <v>43977</v>
      </c>
      <c r="B309" s="13" t="s">
        <v>21</v>
      </c>
      <c r="C309" s="13">
        <v>244905</v>
      </c>
      <c r="D309" s="13">
        <v>25163431.5</v>
      </c>
      <c r="E309" s="6" cm="1">
        <f t="array" ref="E309">_xlfn.XLOOKUP(1,(Лист2!A$2:A$505=A309)*(Лист2!B$2:B$505=B309),Лист2!C$2:C$505)</f>
        <v>59</v>
      </c>
      <c r="F309" s="6" cm="1">
        <f t="array" ref="F309">_xlfn.XLOOKUP(1,(Лист2!A$2:A$505=A309)*(Лист2!B$2:B$505=B309),Лист2!D$2:D$505)</f>
        <v>15369</v>
      </c>
      <c r="G309" s="6" cm="1">
        <f t="array" ref="G309">_xlfn.XLOOKUP(1,(Лист2!A$2:A$505=A309)*(Лист2!B$2:B$505=B309),Лист2!E$2:E$505)</f>
        <v>14299</v>
      </c>
      <c r="H309">
        <f t="shared" si="8"/>
        <v>426498.838983051</v>
      </c>
      <c r="I309">
        <f t="shared" si="9"/>
        <v>22</v>
      </c>
    </row>
    <row r="310" ht="14.25" customHeight="1" spans="1:9">
      <c r="A310" s="10">
        <v>43952</v>
      </c>
      <c r="B310" s="11" t="s">
        <v>21</v>
      </c>
      <c r="C310" s="11">
        <v>239409</v>
      </c>
      <c r="D310" s="11">
        <v>25413351</v>
      </c>
      <c r="E310" s="6" cm="1">
        <f t="array" ref="E310">_xlfn.XLOOKUP(1,(Лист2!A$2:A$505=A310)*(Лист2!B$2:B$505=B310),Лист2!C$2:C$505)</f>
        <v>59</v>
      </c>
      <c r="F310" s="6" cm="1">
        <f t="array" ref="F310">_xlfn.XLOOKUP(1,(Лист2!A$2:A$505=A310)*(Лист2!B$2:B$505=B310),Лист2!D$2:D$505)</f>
        <v>15222</v>
      </c>
      <c r="G310" s="6" cm="1">
        <f t="array" ref="G310">_xlfn.XLOOKUP(1,(Лист2!A$2:A$505=A310)*(Лист2!B$2:B$505=B310),Лист2!E$2:E$505)</f>
        <v>13873</v>
      </c>
      <c r="H310">
        <f t="shared" si="8"/>
        <v>430734.762711864</v>
      </c>
      <c r="I310">
        <f t="shared" si="9"/>
        <v>18</v>
      </c>
    </row>
    <row r="311" ht="14.25" customHeight="1" spans="1:9">
      <c r="A311" s="12">
        <v>43963</v>
      </c>
      <c r="B311" s="13" t="s">
        <v>21</v>
      </c>
      <c r="C311" s="13">
        <v>192886.5</v>
      </c>
      <c r="D311" s="13">
        <v>19205179.5</v>
      </c>
      <c r="E311" s="6" cm="1">
        <f t="array" ref="E311">_xlfn.XLOOKUP(1,(Лист2!A$2:A$505=A311)*(Лист2!B$2:B$505=B311),Лист2!C$2:C$505)</f>
        <v>60</v>
      </c>
      <c r="F311" s="6" cm="1">
        <f t="array" ref="F311">_xlfn.XLOOKUP(1,(Лист2!A$2:A$505=A311)*(Лист2!B$2:B$505=B311),Лист2!D$2:D$505)</f>
        <v>12000</v>
      </c>
      <c r="G311" s="6" cm="1">
        <f t="array" ref="G311">_xlfn.XLOOKUP(1,(Лист2!A$2:A$505=A311)*(Лист2!B$2:B$505=B311),Лист2!E$2:E$505)</f>
        <v>11194</v>
      </c>
      <c r="H311">
        <f t="shared" si="8"/>
        <v>320086.325</v>
      </c>
      <c r="I311">
        <f t="shared" si="9"/>
        <v>20</v>
      </c>
    </row>
    <row r="312" ht="14.25" customHeight="1" spans="1:9">
      <c r="A312" s="10">
        <v>43972</v>
      </c>
      <c r="B312" s="11" t="s">
        <v>21</v>
      </c>
      <c r="C312" s="11">
        <v>224233.5</v>
      </c>
      <c r="D312" s="11">
        <v>22253295</v>
      </c>
      <c r="E312" s="6" cm="1">
        <f t="array" ref="E312">_xlfn.XLOOKUP(1,(Лист2!A$2:A$505=A312)*(Лист2!B$2:B$505=B312),Лист2!C$2:C$505)</f>
        <v>60</v>
      </c>
      <c r="F312" s="6" cm="1">
        <f t="array" ref="F312">_xlfn.XLOOKUP(1,(Лист2!A$2:A$505=A312)*(Лист2!B$2:B$505=B312),Лист2!D$2:D$505)</f>
        <v>14005</v>
      </c>
      <c r="G312" s="6" cm="1">
        <f t="array" ref="G312">_xlfn.XLOOKUP(1,(Лист2!A$2:A$505=A312)*(Лист2!B$2:B$505=B312),Лист2!E$2:E$505)</f>
        <v>13002</v>
      </c>
      <c r="H312">
        <f t="shared" si="8"/>
        <v>370888.25</v>
      </c>
      <c r="I312">
        <f t="shared" si="9"/>
        <v>21</v>
      </c>
    </row>
    <row r="313" ht="14.25" customHeight="1" spans="1:9">
      <c r="A313" s="12">
        <v>43971</v>
      </c>
      <c r="B313" s="13" t="s">
        <v>21</v>
      </c>
      <c r="C313" s="13">
        <v>219622.5</v>
      </c>
      <c r="D313" s="13">
        <v>21959286</v>
      </c>
      <c r="E313" s="6" cm="1">
        <f t="array" ref="E313">_xlfn.XLOOKUP(1,(Лист2!A$2:A$505=A313)*(Лист2!B$2:B$505=B313),Лист2!C$2:C$505)</f>
        <v>60</v>
      </c>
      <c r="F313" s="6" cm="1">
        <f t="array" ref="F313">_xlfn.XLOOKUP(1,(Лист2!A$2:A$505=A313)*(Лист2!B$2:B$505=B313),Лист2!D$2:D$505)</f>
        <v>13792</v>
      </c>
      <c r="G313" s="6" cm="1">
        <f t="array" ref="G313">_xlfn.XLOOKUP(1,(Лист2!A$2:A$505=A313)*(Лист2!B$2:B$505=B313),Лист2!E$2:E$505)</f>
        <v>12834</v>
      </c>
      <c r="H313">
        <f t="shared" si="8"/>
        <v>365988.1</v>
      </c>
      <c r="I313">
        <f t="shared" si="9"/>
        <v>21</v>
      </c>
    </row>
    <row r="314" ht="14.25" customHeight="1" spans="1:9">
      <c r="A314" s="10">
        <v>43956</v>
      </c>
      <c r="B314" s="11" t="s">
        <v>21</v>
      </c>
      <c r="C314" s="11">
        <v>213582</v>
      </c>
      <c r="D314" s="11">
        <v>21919435.5</v>
      </c>
      <c r="E314" s="6" cm="1">
        <f t="array" ref="E314">_xlfn.XLOOKUP(1,(Лист2!A$2:A$505=A314)*(Лист2!B$2:B$505=B314),Лист2!C$2:C$505)</f>
        <v>59</v>
      </c>
      <c r="F314" s="6" cm="1">
        <f t="array" ref="F314">_xlfn.XLOOKUP(1,(Лист2!A$2:A$505=A314)*(Лист2!B$2:B$505=B314),Лист2!D$2:D$505)</f>
        <v>13469</v>
      </c>
      <c r="G314" s="6" cm="1">
        <f t="array" ref="G314">_xlfn.XLOOKUP(1,(Лист2!A$2:A$505=A314)*(Лист2!B$2:B$505=B314),Лист2!E$2:E$505)</f>
        <v>12486</v>
      </c>
      <c r="H314">
        <f t="shared" si="8"/>
        <v>371515.855932203</v>
      </c>
      <c r="I314">
        <f t="shared" si="9"/>
        <v>19</v>
      </c>
    </row>
    <row r="315" ht="14.25" customHeight="1" spans="1:9">
      <c r="A315" s="12">
        <v>43949</v>
      </c>
      <c r="B315" s="13" t="s">
        <v>22</v>
      </c>
      <c r="C315" s="13">
        <v>195705</v>
      </c>
      <c r="D315" s="13">
        <v>20003263.5</v>
      </c>
      <c r="E315" s="6" cm="1">
        <f t="array" ref="E315">_xlfn.XLOOKUP(1,(Лист2!A$2:A$505=A315)*(Лист2!B$2:B$505=B315),Лист2!C$2:C$505)</f>
        <v>54</v>
      </c>
      <c r="F315" s="6" cm="1">
        <f t="array" ref="F315">_xlfn.XLOOKUP(1,(Лист2!A$2:A$505=A315)*(Лист2!B$2:B$505=B315),Лист2!D$2:D$505)</f>
        <v>12306</v>
      </c>
      <c r="G315" s="6" cm="1">
        <f t="array" ref="G315">_xlfn.XLOOKUP(1,(Лист2!A$2:A$505=A315)*(Лист2!B$2:B$505=B315),Лист2!E$2:E$505)</f>
        <v>11532</v>
      </c>
      <c r="H315">
        <f t="shared" si="8"/>
        <v>370430.805555556</v>
      </c>
      <c r="I315">
        <f t="shared" si="9"/>
        <v>18</v>
      </c>
    </row>
    <row r="316" ht="14.25" customHeight="1" spans="1:9">
      <c r="A316" s="10">
        <v>43964</v>
      </c>
      <c r="B316" s="11" t="s">
        <v>21</v>
      </c>
      <c r="C316" s="11">
        <v>193722</v>
      </c>
      <c r="D316" s="11">
        <v>19437273</v>
      </c>
      <c r="E316" s="6" cm="1">
        <f t="array" ref="E316">_xlfn.XLOOKUP(1,(Лист2!A$2:A$505=A316)*(Лист2!B$2:B$505=B316),Лист2!C$2:C$505)</f>
        <v>60</v>
      </c>
      <c r="F316" s="6" cm="1">
        <f t="array" ref="F316">_xlfn.XLOOKUP(1,(Лист2!A$2:A$505=A316)*(Лист2!B$2:B$505=B316),Лист2!D$2:D$505)</f>
        <v>12007</v>
      </c>
      <c r="G316" s="6" cm="1">
        <f t="array" ref="G316">_xlfn.XLOOKUP(1,(Лист2!A$2:A$505=A316)*(Лист2!B$2:B$505=B316),Лист2!E$2:E$505)</f>
        <v>11245</v>
      </c>
      <c r="H316">
        <f t="shared" si="8"/>
        <v>323954.55</v>
      </c>
      <c r="I316">
        <f t="shared" si="9"/>
        <v>20</v>
      </c>
    </row>
    <row r="317" ht="14.25" customHeight="1" spans="1:9">
      <c r="A317" s="12">
        <v>43954</v>
      </c>
      <c r="B317" s="13" t="s">
        <v>21</v>
      </c>
      <c r="C317" s="13">
        <v>257215.5</v>
      </c>
      <c r="D317" s="13">
        <v>26492278.5</v>
      </c>
      <c r="E317" s="6" cm="1">
        <f t="array" ref="E317">_xlfn.XLOOKUP(1,(Лист2!A$2:A$505=A317)*(Лист2!B$2:B$505=B317),Лист2!C$2:C$505)</f>
        <v>59</v>
      </c>
      <c r="F317" s="6" cm="1">
        <f t="array" ref="F317">_xlfn.XLOOKUP(1,(Лист2!A$2:A$505=A317)*(Лист2!B$2:B$505=B317),Лист2!D$2:D$505)</f>
        <v>15277</v>
      </c>
      <c r="G317" s="6" cm="1">
        <f t="array" ref="G317">_xlfn.XLOOKUP(1,(Лист2!A$2:A$505=A317)*(Лист2!B$2:B$505=B317),Лист2!E$2:E$505)</f>
        <v>14163</v>
      </c>
      <c r="H317">
        <f t="shared" si="8"/>
        <v>449021.669491525</v>
      </c>
      <c r="I317">
        <f t="shared" si="9"/>
        <v>18</v>
      </c>
    </row>
    <row r="318" ht="14.25" customHeight="1" spans="1:9">
      <c r="A318" s="10">
        <v>43957</v>
      </c>
      <c r="B318" s="11" t="s">
        <v>21</v>
      </c>
      <c r="C318" s="11">
        <v>224779.5</v>
      </c>
      <c r="D318" s="11">
        <v>23032992</v>
      </c>
      <c r="E318" s="6" cm="1">
        <f t="array" ref="E318">_xlfn.XLOOKUP(1,(Лист2!A$2:A$505=A318)*(Лист2!B$2:B$505=B318),Лист2!C$2:C$505)</f>
        <v>59</v>
      </c>
      <c r="F318" s="6" cm="1">
        <f t="array" ref="F318">_xlfn.XLOOKUP(1,(Лист2!A$2:A$505=A318)*(Лист2!B$2:B$505=B318),Лист2!D$2:D$505)</f>
        <v>14103</v>
      </c>
      <c r="G318" s="6" cm="1">
        <f t="array" ref="G318">_xlfn.XLOOKUP(1,(Лист2!A$2:A$505=A318)*(Лист2!B$2:B$505=B318),Лист2!E$2:E$505)</f>
        <v>13118</v>
      </c>
      <c r="H318">
        <f t="shared" si="8"/>
        <v>390389.694915254</v>
      </c>
      <c r="I318">
        <f t="shared" si="9"/>
        <v>19</v>
      </c>
    </row>
    <row r="319" ht="14.25" customHeight="1" spans="1:9">
      <c r="A319" s="12">
        <v>43974</v>
      </c>
      <c r="B319" s="13" t="s">
        <v>21</v>
      </c>
      <c r="C319" s="13">
        <v>292018.5</v>
      </c>
      <c r="D319" s="13">
        <v>28590910.5</v>
      </c>
      <c r="E319" s="6" cm="1">
        <f t="array" ref="E319">_xlfn.XLOOKUP(1,(Лист2!A$2:A$505=A319)*(Лист2!B$2:B$505=B319),Лист2!C$2:C$505)</f>
        <v>60</v>
      </c>
      <c r="F319" s="6" cm="1">
        <f t="array" ref="F319">_xlfn.XLOOKUP(1,(Лист2!A$2:A$505=A319)*(Лист2!B$2:B$505=B319),Лист2!D$2:D$505)</f>
        <v>17295</v>
      </c>
      <c r="G319" s="6" cm="1">
        <f t="array" ref="G319">_xlfn.XLOOKUP(1,(Лист2!A$2:A$505=A319)*(Лист2!B$2:B$505=B319),Лист2!E$2:E$505)</f>
        <v>16010</v>
      </c>
      <c r="H319">
        <f t="shared" si="8"/>
        <v>476515.175</v>
      </c>
      <c r="I319">
        <f t="shared" si="9"/>
        <v>21</v>
      </c>
    </row>
    <row r="320" ht="14.25" customHeight="1" spans="1:9">
      <c r="A320" s="10">
        <v>43976</v>
      </c>
      <c r="B320" s="11" t="s">
        <v>21</v>
      </c>
      <c r="C320" s="11">
        <v>198751.5</v>
      </c>
      <c r="D320" s="11">
        <v>20582743.5</v>
      </c>
      <c r="E320" s="6" cm="1">
        <f t="array" ref="E320">_xlfn.XLOOKUP(1,(Лист2!A$2:A$505=A320)*(Лист2!B$2:B$505=B320),Лист2!C$2:C$505)</f>
        <v>59</v>
      </c>
      <c r="F320" s="6" cm="1">
        <f t="array" ref="F320">_xlfn.XLOOKUP(1,(Лист2!A$2:A$505=A320)*(Лист2!B$2:B$505=B320),Лист2!D$2:D$505)</f>
        <v>12983</v>
      </c>
      <c r="G320" s="6" cm="1">
        <f t="array" ref="G320">_xlfn.XLOOKUP(1,(Лист2!A$2:A$505=A320)*(Лист2!B$2:B$505=B320),Лист2!E$2:E$505)</f>
        <v>12056</v>
      </c>
      <c r="H320">
        <f t="shared" si="8"/>
        <v>348860.059322034</v>
      </c>
      <c r="I320">
        <f t="shared" si="9"/>
        <v>22</v>
      </c>
    </row>
    <row r="321" ht="14.25" customHeight="1" spans="1:9">
      <c r="A321" s="12">
        <v>43951</v>
      </c>
      <c r="B321" s="13" t="s">
        <v>21</v>
      </c>
      <c r="C321" s="13">
        <v>214386</v>
      </c>
      <c r="D321" s="13">
        <v>22530000</v>
      </c>
      <c r="E321" s="6" cm="1">
        <f t="array" ref="E321">_xlfn.XLOOKUP(1,(Лист2!A$2:A$505=A321)*(Лист2!B$2:B$505=B321),Лист2!C$2:C$505)</f>
        <v>59</v>
      </c>
      <c r="F321" s="6" cm="1">
        <f t="array" ref="F321">_xlfn.XLOOKUP(1,(Лист2!A$2:A$505=A321)*(Лист2!B$2:B$505=B321),Лист2!D$2:D$505)</f>
        <v>13251</v>
      </c>
      <c r="G321" s="6" cm="1">
        <f t="array" ref="G321">_xlfn.XLOOKUP(1,(Лист2!A$2:A$505=A321)*(Лист2!B$2:B$505=B321),Лист2!E$2:E$505)</f>
        <v>12255</v>
      </c>
      <c r="H321">
        <f t="shared" si="8"/>
        <v>381864.406779661</v>
      </c>
      <c r="I321">
        <f t="shared" si="9"/>
        <v>18</v>
      </c>
    </row>
    <row r="322" ht="14.25" customHeight="1" spans="1:9">
      <c r="A322" s="10">
        <v>43961</v>
      </c>
      <c r="B322" s="11" t="s">
        <v>21</v>
      </c>
      <c r="C322" s="11">
        <v>243825</v>
      </c>
      <c r="D322" s="11">
        <v>24890404.5</v>
      </c>
      <c r="E322" s="6" cm="1">
        <f t="array" ref="E322">_xlfn.XLOOKUP(1,(Лист2!A$2:A$505=A322)*(Лист2!B$2:B$505=B322),Лист2!C$2:C$505)</f>
        <v>59</v>
      </c>
      <c r="F322" s="6" cm="1">
        <f t="array" ref="F322">_xlfn.XLOOKUP(1,(Лист2!A$2:A$505=A322)*(Лист2!B$2:B$505=B322),Лист2!D$2:D$505)</f>
        <v>14569</v>
      </c>
      <c r="G322" s="6" cm="1">
        <f t="array" ref="G322">_xlfn.XLOOKUP(1,(Лист2!A$2:A$505=A322)*(Лист2!B$2:B$505=B322),Лист2!E$2:E$505)</f>
        <v>13566</v>
      </c>
      <c r="H322">
        <f t="shared" si="8"/>
        <v>421871.262711864</v>
      </c>
      <c r="I322">
        <f t="shared" si="9"/>
        <v>19</v>
      </c>
    </row>
    <row r="323" ht="14.25" customHeight="1" spans="1:9">
      <c r="A323" s="12">
        <v>43959</v>
      </c>
      <c r="B323" s="13" t="s">
        <v>21</v>
      </c>
      <c r="C323" s="13">
        <v>232701</v>
      </c>
      <c r="D323" s="13">
        <v>23881948.5</v>
      </c>
      <c r="E323" s="6" cm="1">
        <f t="array" ref="E323">_xlfn.XLOOKUP(1,(Лист2!A$2:A$505=A323)*(Лист2!B$2:B$505=B323),Лист2!C$2:C$505)</f>
        <v>59</v>
      </c>
      <c r="F323" s="6" cm="1">
        <f t="array" ref="F323">_xlfn.XLOOKUP(1,(Лист2!A$2:A$505=A323)*(Лист2!B$2:B$505=B323),Лист2!D$2:D$505)</f>
        <v>14098</v>
      </c>
      <c r="G323" s="6" cm="1">
        <f t="array" ref="G323">_xlfn.XLOOKUP(1,(Лист2!A$2:A$505=A323)*(Лист2!B$2:B$505=B323),Лист2!E$2:E$505)</f>
        <v>13106</v>
      </c>
      <c r="H323">
        <f t="shared" ref="H323:H386" si="10">D323/E323</f>
        <v>404778.788135593</v>
      </c>
      <c r="I323">
        <f t="shared" ref="I323:I386" si="11">WEEKNUM(A323,2)</f>
        <v>19</v>
      </c>
    </row>
    <row r="324" ht="14.25" customHeight="1" spans="1:9">
      <c r="A324" s="10">
        <v>43958</v>
      </c>
      <c r="B324" s="11" t="s">
        <v>21</v>
      </c>
      <c r="C324" s="11">
        <v>219411</v>
      </c>
      <c r="D324" s="11">
        <v>22460130</v>
      </c>
      <c r="E324" s="6" cm="1">
        <f t="array" ref="E324">_xlfn.XLOOKUP(1,(Лист2!A$2:A$505=A324)*(Лист2!B$2:B$505=B324),Лист2!C$2:C$505)</f>
        <v>59</v>
      </c>
      <c r="F324" s="6" cm="1">
        <f t="array" ref="F324">_xlfn.XLOOKUP(1,(Лист2!A$2:A$505=A324)*(Лист2!B$2:B$505=B324),Лист2!D$2:D$505)</f>
        <v>13495</v>
      </c>
      <c r="G324" s="6" cm="1">
        <f t="array" ref="G324">_xlfn.XLOOKUP(1,(Лист2!A$2:A$505=A324)*(Лист2!B$2:B$505=B324),Лист2!E$2:E$505)</f>
        <v>12517</v>
      </c>
      <c r="H324">
        <f t="shared" si="10"/>
        <v>380680.169491525</v>
      </c>
      <c r="I324">
        <f t="shared" si="11"/>
        <v>19</v>
      </c>
    </row>
    <row r="325" ht="14.25" customHeight="1" spans="1:9">
      <c r="A325" s="12">
        <v>43975</v>
      </c>
      <c r="B325" s="13" t="s">
        <v>21</v>
      </c>
      <c r="C325" s="13">
        <v>200029.5</v>
      </c>
      <c r="D325" s="13">
        <v>19959801</v>
      </c>
      <c r="E325" s="6" cm="1">
        <f t="array" ref="E325">_xlfn.XLOOKUP(1,(Лист2!A$2:A$505=A325)*(Лист2!B$2:B$505=B325),Лист2!C$2:C$505)</f>
        <v>60</v>
      </c>
      <c r="F325" s="6" cm="1">
        <f t="array" ref="F325">_xlfn.XLOOKUP(1,(Лист2!A$2:A$505=A325)*(Лист2!B$2:B$505=B325),Лист2!D$2:D$505)</f>
        <v>12822</v>
      </c>
      <c r="G325" s="6" cm="1">
        <f t="array" ref="G325">_xlfn.XLOOKUP(1,(Лист2!A$2:A$505=A325)*(Лист2!B$2:B$505=B325),Лист2!E$2:E$505)</f>
        <v>11916</v>
      </c>
      <c r="H325">
        <f t="shared" si="10"/>
        <v>332663.35</v>
      </c>
      <c r="I325">
        <f t="shared" si="11"/>
        <v>21</v>
      </c>
    </row>
    <row r="326" ht="14.25" customHeight="1" spans="1:9">
      <c r="A326" s="10">
        <v>43967</v>
      </c>
      <c r="B326" s="11" t="s">
        <v>22</v>
      </c>
      <c r="C326" s="11">
        <v>225480</v>
      </c>
      <c r="D326" s="11">
        <v>22355338.5</v>
      </c>
      <c r="E326" s="6" cm="1">
        <f t="array" ref="E326">_xlfn.XLOOKUP(1,(Лист2!A$2:A$505=A326)*(Лист2!B$2:B$505=B326),Лист2!C$2:C$505)</f>
        <v>54</v>
      </c>
      <c r="F326" s="6" cm="1">
        <f t="array" ref="F326">_xlfn.XLOOKUP(1,(Лист2!A$2:A$505=A326)*(Лист2!B$2:B$505=B326),Лист2!D$2:D$505)</f>
        <v>13170</v>
      </c>
      <c r="G326" s="6" cm="1">
        <f t="array" ref="G326">_xlfn.XLOOKUP(1,(Лист2!A$2:A$505=A326)*(Лист2!B$2:B$505=B326),Лист2!E$2:E$505)</f>
        <v>12299</v>
      </c>
      <c r="H326">
        <f t="shared" si="10"/>
        <v>413987.75</v>
      </c>
      <c r="I326">
        <f t="shared" si="11"/>
        <v>20</v>
      </c>
    </row>
    <row r="327" ht="14.25" customHeight="1" spans="1:9">
      <c r="A327" s="12">
        <v>43970</v>
      </c>
      <c r="B327" s="13" t="s">
        <v>22</v>
      </c>
      <c r="C327" s="13">
        <v>211453.5</v>
      </c>
      <c r="D327" s="13">
        <v>20590072.5</v>
      </c>
      <c r="E327" s="6" cm="1">
        <f t="array" ref="E327">_xlfn.XLOOKUP(1,(Лист2!A$2:A$505=A327)*(Лист2!B$2:B$505=B327),Лист2!C$2:C$505)</f>
        <v>54</v>
      </c>
      <c r="F327" s="6" cm="1">
        <f t="array" ref="F327">_xlfn.XLOOKUP(1,(Лист2!A$2:A$505=A327)*(Лист2!B$2:B$505=B327),Лист2!D$2:D$505)</f>
        <v>13070</v>
      </c>
      <c r="G327" s="6" cm="1">
        <f t="array" ref="G327">_xlfn.XLOOKUP(1,(Лист2!A$2:A$505=A327)*(Лист2!B$2:B$505=B327),Лист2!E$2:E$505)</f>
        <v>12244</v>
      </c>
      <c r="H327">
        <f t="shared" si="10"/>
        <v>381297.638888889</v>
      </c>
      <c r="I327">
        <f t="shared" si="11"/>
        <v>21</v>
      </c>
    </row>
    <row r="328" ht="14.25" customHeight="1" spans="1:9">
      <c r="A328" s="10">
        <v>43968</v>
      </c>
      <c r="B328" s="11" t="s">
        <v>22</v>
      </c>
      <c r="C328" s="11">
        <v>184801.5</v>
      </c>
      <c r="D328" s="11">
        <v>18449091</v>
      </c>
      <c r="E328" s="6" cm="1">
        <f t="array" ref="E328">_xlfn.XLOOKUP(1,(Лист2!A$2:A$505=A328)*(Лист2!B$2:B$505=B328),Лист2!C$2:C$505)</f>
        <v>54</v>
      </c>
      <c r="F328" s="6" cm="1">
        <f t="array" ref="F328">_xlfn.XLOOKUP(1,(Лист2!A$2:A$505=A328)*(Лист2!B$2:B$505=B328),Лист2!D$2:D$505)</f>
        <v>11128</v>
      </c>
      <c r="G328" s="6" cm="1">
        <f t="array" ref="G328">_xlfn.XLOOKUP(1,(Лист2!A$2:A$505=A328)*(Лист2!B$2:B$505=B328),Лист2!E$2:E$505)</f>
        <v>10467</v>
      </c>
      <c r="H328">
        <f t="shared" si="10"/>
        <v>341649.833333333</v>
      </c>
      <c r="I328">
        <f t="shared" si="11"/>
        <v>20</v>
      </c>
    </row>
    <row r="329" ht="14.25" customHeight="1" spans="1:9">
      <c r="A329" s="12">
        <v>43960</v>
      </c>
      <c r="B329" s="13" t="s">
        <v>22</v>
      </c>
      <c r="C329" s="13">
        <v>177976.5</v>
      </c>
      <c r="D329" s="13">
        <v>18085798.5</v>
      </c>
      <c r="E329" s="6" cm="1">
        <f t="array" ref="E329">_xlfn.XLOOKUP(1,(Лист2!A$2:A$505=A329)*(Лист2!B$2:B$505=B329),Лист2!C$2:C$505)</f>
        <v>54</v>
      </c>
      <c r="F329" s="6" cm="1">
        <f t="array" ref="F329">_xlfn.XLOOKUP(1,(Лист2!A$2:A$505=A329)*(Лист2!B$2:B$505=B329),Лист2!D$2:D$505)</f>
        <v>11288</v>
      </c>
      <c r="G329" s="6" cm="1">
        <f t="array" ref="G329">_xlfn.XLOOKUP(1,(Лист2!A$2:A$505=A329)*(Лист2!B$2:B$505=B329),Лист2!E$2:E$505)</f>
        <v>10492</v>
      </c>
      <c r="H329">
        <f t="shared" si="10"/>
        <v>334922.194444444</v>
      </c>
      <c r="I329">
        <f t="shared" si="11"/>
        <v>19</v>
      </c>
    </row>
    <row r="330" ht="14.25" customHeight="1" spans="1:9">
      <c r="A330" s="10">
        <v>43955</v>
      </c>
      <c r="B330" s="11" t="s">
        <v>22</v>
      </c>
      <c r="C330" s="11">
        <v>223617</v>
      </c>
      <c r="D330" s="11">
        <v>22796827.5</v>
      </c>
      <c r="E330" s="6" cm="1">
        <f t="array" ref="E330">_xlfn.XLOOKUP(1,(Лист2!A$2:A$505=A330)*(Лист2!B$2:B$505=B330),Лист2!C$2:C$505)</f>
        <v>54</v>
      </c>
      <c r="F330" s="6" cm="1">
        <f t="array" ref="F330">_xlfn.XLOOKUP(1,(Лист2!A$2:A$505=A330)*(Лист2!B$2:B$505=B330),Лист2!D$2:D$505)</f>
        <v>13606</v>
      </c>
      <c r="G330" s="6" cm="1">
        <f t="array" ref="G330">_xlfn.XLOOKUP(1,(Лист2!A$2:A$505=A330)*(Лист2!B$2:B$505=B330),Лист2!E$2:E$505)</f>
        <v>12697</v>
      </c>
      <c r="H330">
        <f t="shared" si="10"/>
        <v>422163.472222222</v>
      </c>
      <c r="I330">
        <f t="shared" si="11"/>
        <v>19</v>
      </c>
    </row>
    <row r="331" ht="14.25" customHeight="1" spans="1:9">
      <c r="A331" s="12">
        <v>43953</v>
      </c>
      <c r="B331" s="13" t="s">
        <v>22</v>
      </c>
      <c r="C331" s="13">
        <v>176397</v>
      </c>
      <c r="D331" s="13">
        <v>18625921.5</v>
      </c>
      <c r="E331" s="6" cm="1">
        <f t="array" ref="E331">_xlfn.XLOOKUP(1,(Лист2!A$2:A$505=A331)*(Лист2!B$2:B$505=B331),Лист2!C$2:C$505)</f>
        <v>54</v>
      </c>
      <c r="F331" s="6" cm="1">
        <f t="array" ref="F331">_xlfn.XLOOKUP(1,(Лист2!A$2:A$505=A331)*(Лист2!B$2:B$505=B331),Лист2!D$2:D$505)</f>
        <v>11622</v>
      </c>
      <c r="G331" s="6" cm="1">
        <f t="array" ref="G331">_xlfn.XLOOKUP(1,(Лист2!A$2:A$505=A331)*(Лист2!B$2:B$505=B331),Лист2!E$2:E$505)</f>
        <v>10754</v>
      </c>
      <c r="H331">
        <f t="shared" si="10"/>
        <v>344924.472222222</v>
      </c>
      <c r="I331">
        <f t="shared" si="11"/>
        <v>18</v>
      </c>
    </row>
    <row r="332" ht="14.25" customHeight="1" spans="1:9">
      <c r="A332" s="10">
        <v>43977</v>
      </c>
      <c r="B332" s="11" t="s">
        <v>22</v>
      </c>
      <c r="C332" s="11">
        <v>232369.5</v>
      </c>
      <c r="D332" s="11">
        <v>23856345</v>
      </c>
      <c r="E332" s="6" cm="1">
        <f t="array" ref="E332">_xlfn.XLOOKUP(1,(Лист2!A$2:A$505=A332)*(Лист2!B$2:B$505=B332),Лист2!C$2:C$505)</f>
        <v>54</v>
      </c>
      <c r="F332" s="6" cm="1">
        <f t="array" ref="F332">_xlfn.XLOOKUP(1,(Лист2!A$2:A$505=A332)*(Лист2!B$2:B$505=B332),Лист2!D$2:D$505)</f>
        <v>14482</v>
      </c>
      <c r="G332" s="6" cm="1">
        <f t="array" ref="G332">_xlfn.XLOOKUP(1,(Лист2!A$2:A$505=A332)*(Лист2!B$2:B$505=B332),Лист2!E$2:E$505)</f>
        <v>13510</v>
      </c>
      <c r="H332">
        <f t="shared" si="10"/>
        <v>441784.166666667</v>
      </c>
      <c r="I332">
        <f t="shared" si="11"/>
        <v>22</v>
      </c>
    </row>
    <row r="333" ht="14.25" customHeight="1" spans="1:9">
      <c r="A333" s="12">
        <v>43952</v>
      </c>
      <c r="B333" s="13" t="s">
        <v>22</v>
      </c>
      <c r="C333" s="13">
        <v>226540.5</v>
      </c>
      <c r="D333" s="13">
        <v>23953536</v>
      </c>
      <c r="E333" s="6" cm="1">
        <f t="array" ref="E333">_xlfn.XLOOKUP(1,(Лист2!A$2:A$505=A333)*(Лист2!B$2:B$505=B333),Лист2!C$2:C$505)</f>
        <v>54</v>
      </c>
      <c r="F333" s="6" cm="1">
        <f t="array" ref="F333">_xlfn.XLOOKUP(1,(Лист2!A$2:A$505=A333)*(Лист2!B$2:B$505=B333),Лист2!D$2:D$505)</f>
        <v>14205</v>
      </c>
      <c r="G333" s="6" cm="1">
        <f t="array" ref="G333">_xlfn.XLOOKUP(1,(Лист2!A$2:A$505=A333)*(Лист2!B$2:B$505=B333),Лист2!E$2:E$505)</f>
        <v>13026</v>
      </c>
      <c r="H333">
        <f t="shared" si="10"/>
        <v>443584</v>
      </c>
      <c r="I333">
        <f t="shared" si="11"/>
        <v>18</v>
      </c>
    </row>
    <row r="334" ht="14.25" customHeight="1" spans="1:9">
      <c r="A334" s="10">
        <v>43963</v>
      </c>
      <c r="B334" s="11" t="s">
        <v>22</v>
      </c>
      <c r="C334" s="11">
        <v>189679.5</v>
      </c>
      <c r="D334" s="11">
        <v>18718036.5</v>
      </c>
      <c r="E334" s="6" cm="1">
        <f t="array" ref="E334">_xlfn.XLOOKUP(1,(Лист2!A$2:A$505=A334)*(Лист2!B$2:B$505=B334),Лист2!C$2:C$505)</f>
        <v>54</v>
      </c>
      <c r="F334" s="6" cm="1">
        <f t="array" ref="F334">_xlfn.XLOOKUP(1,(Лист2!A$2:A$505=A334)*(Лист2!B$2:B$505=B334),Лист2!D$2:D$505)</f>
        <v>11614</v>
      </c>
      <c r="G334" s="6" cm="1">
        <f t="array" ref="G334">_xlfn.XLOOKUP(1,(Лист2!A$2:A$505=A334)*(Лист2!B$2:B$505=B334),Лист2!E$2:E$505)</f>
        <v>10862</v>
      </c>
      <c r="H334">
        <f t="shared" si="10"/>
        <v>346630.305555556</v>
      </c>
      <c r="I334">
        <f t="shared" si="11"/>
        <v>20</v>
      </c>
    </row>
    <row r="335" ht="14.25" customHeight="1" spans="1:9">
      <c r="A335" s="12">
        <v>43972</v>
      </c>
      <c r="B335" s="13" t="s">
        <v>22</v>
      </c>
      <c r="C335" s="13">
        <v>213640.5</v>
      </c>
      <c r="D335" s="13">
        <v>21042673.5</v>
      </c>
      <c r="E335" s="6" cm="1">
        <f t="array" ref="E335">_xlfn.XLOOKUP(1,(Лист2!A$2:A$505=A335)*(Лист2!B$2:B$505=B335),Лист2!C$2:C$505)</f>
        <v>54</v>
      </c>
      <c r="F335" s="6" cm="1">
        <f t="array" ref="F335">_xlfn.XLOOKUP(1,(Лист2!A$2:A$505=A335)*(Лист2!B$2:B$505=B335),Лист2!D$2:D$505)</f>
        <v>13240</v>
      </c>
      <c r="G335" s="6" cm="1">
        <f t="array" ref="G335">_xlfn.XLOOKUP(1,(Лист2!A$2:A$505=A335)*(Лист2!B$2:B$505=B335),Лист2!E$2:E$505)</f>
        <v>12360</v>
      </c>
      <c r="H335">
        <f t="shared" si="10"/>
        <v>389679.138888889</v>
      </c>
      <c r="I335">
        <f t="shared" si="11"/>
        <v>21</v>
      </c>
    </row>
    <row r="336" ht="14.25" customHeight="1" spans="1:9">
      <c r="A336" s="10">
        <v>43971</v>
      </c>
      <c r="B336" s="11" t="s">
        <v>22</v>
      </c>
      <c r="C336" s="11">
        <v>214885.5</v>
      </c>
      <c r="D336" s="11">
        <v>21411349.5</v>
      </c>
      <c r="E336" s="6" cm="1">
        <f t="array" ref="E336">_xlfn.XLOOKUP(1,(Лист2!A$2:A$505=A336)*(Лист2!B$2:B$505=B336),Лист2!C$2:C$505)</f>
        <v>54</v>
      </c>
      <c r="F336" s="6" cm="1">
        <f t="array" ref="F336">_xlfn.XLOOKUP(1,(Лист2!A$2:A$505=A336)*(Лист2!B$2:B$505=B336),Лист2!D$2:D$505)</f>
        <v>13298</v>
      </c>
      <c r="G336" s="6" cm="1">
        <f t="array" ref="G336">_xlfn.XLOOKUP(1,(Лист2!A$2:A$505=A336)*(Лист2!B$2:B$505=B336),Лист2!E$2:E$505)</f>
        <v>12428</v>
      </c>
      <c r="H336">
        <f t="shared" si="10"/>
        <v>396506.472222222</v>
      </c>
      <c r="I336">
        <f t="shared" si="11"/>
        <v>21</v>
      </c>
    </row>
    <row r="337" ht="14.25" customHeight="1" spans="1:9">
      <c r="A337" s="12">
        <v>43956</v>
      </c>
      <c r="B337" s="13" t="s">
        <v>22</v>
      </c>
      <c r="C337" s="13">
        <v>203832</v>
      </c>
      <c r="D337" s="13">
        <v>20880142.5</v>
      </c>
      <c r="E337" s="6" cm="1">
        <f t="array" ref="E337">_xlfn.XLOOKUP(1,(Лист2!A$2:A$505=A337)*(Лист2!B$2:B$505=B337),Лист2!C$2:C$505)</f>
        <v>54</v>
      </c>
      <c r="F337" s="6" cm="1">
        <f t="array" ref="F337">_xlfn.XLOOKUP(1,(Лист2!A$2:A$505=A337)*(Лист2!B$2:B$505=B337),Лист2!D$2:D$505)</f>
        <v>12775</v>
      </c>
      <c r="G337" s="6" cm="1">
        <f t="array" ref="G337">_xlfn.XLOOKUP(1,(Лист2!A$2:A$505=A337)*(Лист2!B$2:B$505=B337),Лист2!E$2:E$505)</f>
        <v>11887</v>
      </c>
      <c r="H337">
        <f t="shared" si="10"/>
        <v>386669.305555556</v>
      </c>
      <c r="I337">
        <f t="shared" si="11"/>
        <v>19</v>
      </c>
    </row>
    <row r="338" ht="14.25" customHeight="1" spans="1:9">
      <c r="A338" s="10">
        <v>43964</v>
      </c>
      <c r="B338" s="11" t="s">
        <v>22</v>
      </c>
      <c r="C338" s="11">
        <v>188662.5</v>
      </c>
      <c r="D338" s="11">
        <v>18784000.5</v>
      </c>
      <c r="E338" s="6" cm="1">
        <f t="array" ref="E338">_xlfn.XLOOKUP(1,(Лист2!A$2:A$505=A338)*(Лист2!B$2:B$505=B338),Лист2!C$2:C$505)</f>
        <v>54</v>
      </c>
      <c r="F338" s="6" cm="1">
        <f t="array" ref="F338">_xlfn.XLOOKUP(1,(Лист2!A$2:A$505=A338)*(Лист2!B$2:B$505=B338),Лист2!D$2:D$505)</f>
        <v>11522</v>
      </c>
      <c r="G338" s="6" cm="1">
        <f t="array" ref="G338">_xlfn.XLOOKUP(1,(Лист2!A$2:A$505=A338)*(Лист2!B$2:B$505=B338),Лист2!E$2:E$505)</f>
        <v>10803</v>
      </c>
      <c r="H338">
        <f t="shared" si="10"/>
        <v>347851.861111111</v>
      </c>
      <c r="I338">
        <f t="shared" si="11"/>
        <v>20</v>
      </c>
    </row>
    <row r="339" ht="14.25" customHeight="1" spans="1:9">
      <c r="A339" s="12">
        <v>43982</v>
      </c>
      <c r="B339" s="13" t="s">
        <v>21</v>
      </c>
      <c r="C339" s="13">
        <v>215277</v>
      </c>
      <c r="D339" s="13">
        <v>21585316.5</v>
      </c>
      <c r="E339" s="6" cm="1">
        <f t="array" ref="E339">_xlfn.XLOOKUP(1,(Лист2!A$2:A$505=A339)*(Лист2!B$2:B$505=B339),Лист2!C$2:C$505)</f>
        <v>59</v>
      </c>
      <c r="F339" s="6" cm="1">
        <f t="array" ref="F339">_xlfn.XLOOKUP(1,(Лист2!A$2:A$505=A339)*(Лист2!B$2:B$505=B339),Лист2!D$2:D$505)</f>
        <v>13684</v>
      </c>
      <c r="G339" s="6" cm="1">
        <f t="array" ref="G339">_xlfn.XLOOKUP(1,(Лист2!A$2:A$505=A339)*(Лист2!B$2:B$505=B339),Лист2!E$2:E$505)</f>
        <v>12690</v>
      </c>
      <c r="H339">
        <f t="shared" si="10"/>
        <v>365852.822033898</v>
      </c>
      <c r="I339">
        <f t="shared" si="11"/>
        <v>22</v>
      </c>
    </row>
    <row r="340" ht="14.25" customHeight="1" spans="1:9">
      <c r="A340" s="10">
        <v>43954</v>
      </c>
      <c r="B340" s="11" t="s">
        <v>22</v>
      </c>
      <c r="C340" s="11">
        <v>248148</v>
      </c>
      <c r="D340" s="11">
        <v>25519072.5</v>
      </c>
      <c r="E340" s="6" cm="1">
        <f t="array" ref="E340">_xlfn.XLOOKUP(1,(Лист2!A$2:A$505=A340)*(Лист2!B$2:B$505=B340),Лист2!C$2:C$505)</f>
        <v>54</v>
      </c>
      <c r="F340" s="6" cm="1">
        <f t="array" ref="F340">_xlfn.XLOOKUP(1,(Лист2!A$2:A$505=A340)*(Лист2!B$2:B$505=B340),Лист2!D$2:D$505)</f>
        <v>14823</v>
      </c>
      <c r="G340" s="6" cm="1">
        <f t="array" ref="G340">_xlfn.XLOOKUP(1,(Лист2!A$2:A$505=A340)*(Лист2!B$2:B$505=B340),Лист2!E$2:E$505)</f>
        <v>13751</v>
      </c>
      <c r="H340">
        <f t="shared" si="10"/>
        <v>472575.416666667</v>
      </c>
      <c r="I340">
        <f t="shared" si="11"/>
        <v>18</v>
      </c>
    </row>
    <row r="341" ht="14.25" customHeight="1" spans="1:9">
      <c r="A341" s="12">
        <v>43981</v>
      </c>
      <c r="B341" s="13" t="s">
        <v>21</v>
      </c>
      <c r="C341" s="13">
        <v>246414</v>
      </c>
      <c r="D341" s="13">
        <v>24527245.5</v>
      </c>
      <c r="E341" s="6" cm="1">
        <f t="array" ref="E341">_xlfn.XLOOKUP(1,(Лист2!A$2:A$505=A341)*(Лист2!B$2:B$505=B341),Лист2!C$2:C$505)</f>
        <v>59</v>
      </c>
      <c r="F341" s="6" cm="1">
        <f t="array" ref="F341">_xlfn.XLOOKUP(1,(Лист2!A$2:A$505=A341)*(Лист2!B$2:B$505=B341),Лист2!D$2:D$505)</f>
        <v>15030</v>
      </c>
      <c r="G341" s="6" cm="1">
        <f t="array" ref="G341">_xlfn.XLOOKUP(1,(Лист2!A$2:A$505=A341)*(Лист2!B$2:B$505=B341),Лист2!E$2:E$505)</f>
        <v>13956</v>
      </c>
      <c r="H341">
        <f t="shared" si="10"/>
        <v>415716.025423729</v>
      </c>
      <c r="I341">
        <f t="shared" si="11"/>
        <v>22</v>
      </c>
    </row>
    <row r="342" ht="14.25" customHeight="1" spans="1:9">
      <c r="A342" s="10">
        <v>43957</v>
      </c>
      <c r="B342" s="11" t="s">
        <v>22</v>
      </c>
      <c r="C342" s="11">
        <v>216498</v>
      </c>
      <c r="D342" s="11">
        <v>22126444.5</v>
      </c>
      <c r="E342" s="6" cm="1">
        <f t="array" ref="E342">_xlfn.XLOOKUP(1,(Лист2!A$2:A$505=A342)*(Лист2!B$2:B$505=B342),Лист2!C$2:C$505)</f>
        <v>54</v>
      </c>
      <c r="F342" s="6" cm="1">
        <f t="array" ref="F342">_xlfn.XLOOKUP(1,(Лист2!A$2:A$505=A342)*(Лист2!B$2:B$505=B342),Лист2!D$2:D$505)</f>
        <v>13406</v>
      </c>
      <c r="G342" s="6" cm="1">
        <f t="array" ref="G342">_xlfn.XLOOKUP(1,(Лист2!A$2:A$505=A342)*(Лист2!B$2:B$505=B342),Лист2!E$2:E$505)</f>
        <v>12518</v>
      </c>
      <c r="H342">
        <f t="shared" si="10"/>
        <v>409748.972222222</v>
      </c>
      <c r="I342">
        <f t="shared" si="11"/>
        <v>19</v>
      </c>
    </row>
    <row r="343" ht="14.25" customHeight="1" spans="1:9">
      <c r="A343" s="12">
        <v>43974</v>
      </c>
      <c r="B343" s="13" t="s">
        <v>22</v>
      </c>
      <c r="C343" s="13">
        <v>275793</v>
      </c>
      <c r="D343" s="13">
        <v>26806626</v>
      </c>
      <c r="E343" s="6" cm="1">
        <f t="array" ref="E343">_xlfn.XLOOKUP(1,(Лист2!A$2:A$505=A343)*(Лист2!B$2:B$505=B343),Лист2!C$2:C$505)</f>
        <v>54</v>
      </c>
      <c r="F343" s="6" cm="1">
        <f t="array" ref="F343">_xlfn.XLOOKUP(1,(Лист2!A$2:A$505=A343)*(Лист2!B$2:B$505=B343),Лист2!D$2:D$505)</f>
        <v>16221</v>
      </c>
      <c r="G343" s="6" cm="1">
        <f t="array" ref="G343">_xlfn.XLOOKUP(1,(Лист2!A$2:A$505=A343)*(Лист2!B$2:B$505=B343),Лист2!E$2:E$505)</f>
        <v>15065</v>
      </c>
      <c r="H343">
        <f t="shared" si="10"/>
        <v>496419</v>
      </c>
      <c r="I343">
        <f t="shared" si="11"/>
        <v>21</v>
      </c>
    </row>
    <row r="344" ht="14.25" customHeight="1" spans="1:9">
      <c r="A344" s="10">
        <v>43979</v>
      </c>
      <c r="B344" s="11" t="s">
        <v>21</v>
      </c>
      <c r="C344" s="11">
        <v>199753.5</v>
      </c>
      <c r="D344" s="11">
        <v>20535733.5</v>
      </c>
      <c r="E344" s="6" cm="1">
        <f t="array" ref="E344">_xlfn.XLOOKUP(1,(Лист2!A$2:A$505=A344)*(Лист2!B$2:B$505=B344),Лист2!C$2:C$505)</f>
        <v>60</v>
      </c>
      <c r="F344" s="6" cm="1">
        <f t="array" ref="F344">_xlfn.XLOOKUP(1,(Лист2!A$2:A$505=A344)*(Лист2!B$2:B$505=B344),Лист2!D$2:D$505)</f>
        <v>12854</v>
      </c>
      <c r="G344" s="6" cm="1">
        <f t="array" ref="G344">_xlfn.XLOOKUP(1,(Лист2!A$2:A$505=A344)*(Лист2!B$2:B$505=B344),Лист2!E$2:E$505)</f>
        <v>11954</v>
      </c>
      <c r="H344">
        <f t="shared" si="10"/>
        <v>342262.225</v>
      </c>
      <c r="I344">
        <f t="shared" si="11"/>
        <v>22</v>
      </c>
    </row>
    <row r="345" ht="14.25" customHeight="1" spans="1:9">
      <c r="A345" s="12">
        <v>43976</v>
      </c>
      <c r="B345" s="13" t="s">
        <v>22</v>
      </c>
      <c r="C345" s="13">
        <v>192948</v>
      </c>
      <c r="D345" s="13">
        <v>19806927</v>
      </c>
      <c r="E345" s="6" cm="1">
        <f t="array" ref="E345">_xlfn.XLOOKUP(1,(Лист2!A$2:A$505=A345)*(Лист2!B$2:B$505=B345),Лист2!C$2:C$505)</f>
        <v>54</v>
      </c>
      <c r="F345" s="6" cm="1">
        <f t="array" ref="F345">_xlfn.XLOOKUP(1,(Лист2!A$2:A$505=A345)*(Лист2!B$2:B$505=B345),Лист2!D$2:D$505)</f>
        <v>12336</v>
      </c>
      <c r="G345" s="6" cm="1">
        <f t="array" ref="G345">_xlfn.XLOOKUP(1,(Лист2!A$2:A$505=A345)*(Лист2!B$2:B$505=B345),Лист2!E$2:E$505)</f>
        <v>11519</v>
      </c>
      <c r="H345">
        <f t="shared" si="10"/>
        <v>366794.944444444</v>
      </c>
      <c r="I345">
        <f t="shared" si="11"/>
        <v>22</v>
      </c>
    </row>
    <row r="346" ht="14.25" customHeight="1" spans="1:9">
      <c r="A346" s="10">
        <v>43951</v>
      </c>
      <c r="B346" s="11" t="s">
        <v>22</v>
      </c>
      <c r="C346" s="11">
        <v>206038.5</v>
      </c>
      <c r="D346" s="11">
        <v>21740460</v>
      </c>
      <c r="E346" s="6" cm="1">
        <f t="array" ref="E346">_xlfn.XLOOKUP(1,(Лист2!A$2:A$505=A346)*(Лист2!B$2:B$505=B346),Лист2!C$2:C$505)</f>
        <v>54</v>
      </c>
      <c r="F346" s="6" cm="1">
        <f t="array" ref="F346">_xlfn.XLOOKUP(1,(Лист2!A$2:A$505=A346)*(Лист2!B$2:B$505=B346),Лист2!D$2:D$505)</f>
        <v>12817</v>
      </c>
      <c r="G346" s="6" cm="1">
        <f t="array" ref="G346">_xlfn.XLOOKUP(1,(Лист2!A$2:A$505=A346)*(Лист2!B$2:B$505=B346),Лист2!E$2:E$505)</f>
        <v>11865</v>
      </c>
      <c r="H346">
        <f t="shared" si="10"/>
        <v>402601.111111111</v>
      </c>
      <c r="I346">
        <f t="shared" si="11"/>
        <v>18</v>
      </c>
    </row>
    <row r="347" ht="14.25" customHeight="1" spans="1:9">
      <c r="A347" s="12">
        <v>43961</v>
      </c>
      <c r="B347" s="13" t="s">
        <v>22</v>
      </c>
      <c r="C347" s="13">
        <v>231559.5</v>
      </c>
      <c r="D347" s="13">
        <v>23443725</v>
      </c>
      <c r="E347" s="6" cm="1">
        <f t="array" ref="E347">_xlfn.XLOOKUP(1,(Лист2!A$2:A$505=A347)*(Лист2!B$2:B$505=B347),Лист2!C$2:C$505)</f>
        <v>54</v>
      </c>
      <c r="F347" s="6" cm="1">
        <f t="array" ref="F347">_xlfn.XLOOKUP(1,(Лист2!A$2:A$505=A347)*(Лист2!B$2:B$505=B347),Лист2!D$2:D$505)</f>
        <v>13832</v>
      </c>
      <c r="G347" s="6" cm="1">
        <f t="array" ref="G347">_xlfn.XLOOKUP(1,(Лист2!A$2:A$505=A347)*(Лист2!B$2:B$505=B347),Лист2!E$2:E$505)</f>
        <v>12864</v>
      </c>
      <c r="H347">
        <f t="shared" si="10"/>
        <v>434143.055555556</v>
      </c>
      <c r="I347">
        <f t="shared" si="11"/>
        <v>19</v>
      </c>
    </row>
    <row r="348" ht="14.25" customHeight="1" spans="1:9">
      <c r="A348" s="10">
        <v>43959</v>
      </c>
      <c r="B348" s="11" t="s">
        <v>22</v>
      </c>
      <c r="C348" s="11">
        <v>225076.5</v>
      </c>
      <c r="D348" s="11">
        <v>22846078.5</v>
      </c>
      <c r="E348" s="6" cm="1">
        <f t="array" ref="E348">_xlfn.XLOOKUP(1,(Лист2!A$2:A$505=A348)*(Лист2!B$2:B$505=B348),Лист2!C$2:C$505)</f>
        <v>54</v>
      </c>
      <c r="F348" s="6" cm="1">
        <f t="array" ref="F348">_xlfn.XLOOKUP(1,(Лист2!A$2:A$505=A348)*(Лист2!B$2:B$505=B348),Лист2!D$2:D$505)</f>
        <v>13563</v>
      </c>
      <c r="G348" s="6" cm="1">
        <f t="array" ref="G348">_xlfn.XLOOKUP(1,(Лист2!A$2:A$505=A348)*(Лист2!B$2:B$505=B348),Лист2!E$2:E$505)</f>
        <v>12604</v>
      </c>
      <c r="H348">
        <f t="shared" si="10"/>
        <v>423075.527777778</v>
      </c>
      <c r="I348">
        <f t="shared" si="11"/>
        <v>19</v>
      </c>
    </row>
    <row r="349" ht="14.25" customHeight="1" spans="1:9">
      <c r="A349" s="12">
        <v>43958</v>
      </c>
      <c r="B349" s="13" t="s">
        <v>22</v>
      </c>
      <c r="C349" s="13">
        <v>209415</v>
      </c>
      <c r="D349" s="13">
        <v>21463023</v>
      </c>
      <c r="E349" s="6" cm="1">
        <f t="array" ref="E349">_xlfn.XLOOKUP(1,(Лист2!A$2:A$505=A349)*(Лист2!B$2:B$505=B349),Лист2!C$2:C$505)</f>
        <v>54</v>
      </c>
      <c r="F349" s="6" cm="1">
        <f t="array" ref="F349">_xlfn.XLOOKUP(1,(Лист2!A$2:A$505=A349)*(Лист2!B$2:B$505=B349),Лист2!D$2:D$505)</f>
        <v>12743</v>
      </c>
      <c r="G349" s="6" cm="1">
        <f t="array" ref="G349">_xlfn.XLOOKUP(1,(Лист2!A$2:A$505=A349)*(Лист2!B$2:B$505=B349),Лист2!E$2:E$505)</f>
        <v>11858</v>
      </c>
      <c r="H349">
        <f t="shared" si="10"/>
        <v>397463.388888889</v>
      </c>
      <c r="I349">
        <f t="shared" si="11"/>
        <v>19</v>
      </c>
    </row>
    <row r="350" ht="14.25" customHeight="1" spans="1:9">
      <c r="A350" s="10">
        <v>43975</v>
      </c>
      <c r="B350" s="11" t="s">
        <v>22</v>
      </c>
      <c r="C350" s="11">
        <v>193719</v>
      </c>
      <c r="D350" s="11">
        <v>19071117</v>
      </c>
      <c r="E350" s="6" cm="1">
        <f t="array" ref="E350">_xlfn.XLOOKUP(1,(Лист2!A$2:A$505=A350)*(Лист2!B$2:B$505=B350),Лист2!C$2:C$505)</f>
        <v>54</v>
      </c>
      <c r="F350" s="6" cm="1">
        <f t="array" ref="F350">_xlfn.XLOOKUP(1,(Лист2!A$2:A$505=A350)*(Лист2!B$2:B$505=B350),Лист2!D$2:D$505)</f>
        <v>12211</v>
      </c>
      <c r="G350" s="6" cm="1">
        <f t="array" ref="G350">_xlfn.XLOOKUP(1,(Лист2!A$2:A$505=A350)*(Лист2!B$2:B$505=B350),Лист2!E$2:E$505)</f>
        <v>11427</v>
      </c>
      <c r="H350">
        <f t="shared" si="10"/>
        <v>353168.833333333</v>
      </c>
      <c r="I350">
        <f t="shared" si="11"/>
        <v>21</v>
      </c>
    </row>
    <row r="351" ht="14.25" customHeight="1" spans="1:9">
      <c r="A351" s="12">
        <v>43950</v>
      </c>
      <c r="B351" s="13" t="s">
        <v>23</v>
      </c>
      <c r="C351" s="13">
        <v>12250.5</v>
      </c>
      <c r="D351" s="13">
        <v>981519</v>
      </c>
      <c r="E351" s="6" cm="1">
        <f t="array" ref="E351">_xlfn.XLOOKUP(1,(Лист2!A$2:A$505=A351)*(Лист2!B$2:B$505=B351),Лист2!C$2:C$505)</f>
        <v>15</v>
      </c>
      <c r="F351" s="6" cm="1">
        <f t="array" ref="F351">_xlfn.XLOOKUP(1,(Лист2!A$2:A$505=A351)*(Лист2!B$2:B$505=B351),Лист2!D$2:D$505)</f>
        <v>659</v>
      </c>
      <c r="G351" s="6" cm="1">
        <f t="array" ref="G351">_xlfn.XLOOKUP(1,(Лист2!A$2:A$505=A351)*(Лист2!B$2:B$505=B351),Лист2!E$2:E$505)</f>
        <v>575</v>
      </c>
      <c r="H351">
        <f t="shared" si="10"/>
        <v>65434.6</v>
      </c>
      <c r="I351">
        <f t="shared" si="11"/>
        <v>18</v>
      </c>
    </row>
    <row r="352" ht="14.25" customHeight="1" spans="1:9">
      <c r="A352" s="10">
        <v>43949</v>
      </c>
      <c r="B352" s="11" t="s">
        <v>23</v>
      </c>
      <c r="C352" s="11">
        <v>12541.5</v>
      </c>
      <c r="D352" s="11">
        <v>992541</v>
      </c>
      <c r="E352" s="6" cm="1">
        <f t="array" ref="E352">_xlfn.XLOOKUP(1,(Лист2!A$2:A$505=A352)*(Лист2!B$2:B$505=B352),Лист2!C$2:C$505)</f>
        <v>15</v>
      </c>
      <c r="F352" s="6" cm="1">
        <f t="array" ref="F352">_xlfn.XLOOKUP(1,(Лист2!A$2:A$505=A352)*(Лист2!B$2:B$505=B352),Лист2!D$2:D$505)</f>
        <v>636</v>
      </c>
      <c r="G352" s="6" cm="1">
        <f t="array" ref="G352">_xlfn.XLOOKUP(1,(Лист2!A$2:A$505=A352)*(Лист2!B$2:B$505=B352),Лист2!E$2:E$505)</f>
        <v>547</v>
      </c>
      <c r="H352">
        <f t="shared" si="10"/>
        <v>66169.4</v>
      </c>
      <c r="I352">
        <f t="shared" si="11"/>
        <v>18</v>
      </c>
    </row>
    <row r="353" ht="14.25" customHeight="1" spans="1:9">
      <c r="A353" s="12">
        <v>43982</v>
      </c>
      <c r="B353" s="13" t="s">
        <v>22</v>
      </c>
      <c r="C353" s="13">
        <v>206758.5</v>
      </c>
      <c r="D353" s="13">
        <v>20717248.5</v>
      </c>
      <c r="E353" s="6" cm="1">
        <f t="array" ref="E353">_xlfn.XLOOKUP(1,(Лист2!A$2:A$505=A353)*(Лист2!B$2:B$505=B353),Лист2!C$2:C$505)</f>
        <v>54</v>
      </c>
      <c r="F353" s="6" cm="1">
        <f t="array" ref="F353">_xlfn.XLOOKUP(1,(Лист2!A$2:A$505=A353)*(Лист2!B$2:B$505=B353),Лист2!D$2:D$505)</f>
        <v>13106</v>
      </c>
      <c r="G353" s="6" cm="1">
        <f t="array" ref="G353">_xlfn.XLOOKUP(1,(Лист2!A$2:A$505=A353)*(Лист2!B$2:B$505=B353),Лист2!E$2:E$505)</f>
        <v>12164</v>
      </c>
      <c r="H353">
        <f t="shared" si="10"/>
        <v>383652.75</v>
      </c>
      <c r="I353">
        <f t="shared" si="11"/>
        <v>22</v>
      </c>
    </row>
    <row r="354" ht="14.25" customHeight="1" spans="1:9">
      <c r="A354" s="10">
        <v>43981</v>
      </c>
      <c r="B354" s="11" t="s">
        <v>22</v>
      </c>
      <c r="C354" s="11">
        <v>244734</v>
      </c>
      <c r="D354" s="11">
        <v>24151980</v>
      </c>
      <c r="E354" s="6" cm="1">
        <f t="array" ref="E354">_xlfn.XLOOKUP(1,(Лист2!A$2:A$505=A354)*(Лист2!B$2:B$505=B354),Лист2!C$2:C$505)</f>
        <v>54</v>
      </c>
      <c r="F354" s="6" cm="1">
        <f t="array" ref="F354">_xlfn.XLOOKUP(1,(Лист2!A$2:A$505=A354)*(Лист2!B$2:B$505=B354),Лист2!D$2:D$505)</f>
        <v>14590</v>
      </c>
      <c r="G354" s="6" cm="1">
        <f t="array" ref="G354">_xlfn.XLOOKUP(1,(Лист2!A$2:A$505=A354)*(Лист2!B$2:B$505=B354),Лист2!E$2:E$505)</f>
        <v>13551</v>
      </c>
      <c r="H354">
        <f t="shared" si="10"/>
        <v>447258.888888889</v>
      </c>
      <c r="I354">
        <f t="shared" si="11"/>
        <v>22</v>
      </c>
    </row>
    <row r="355" ht="14.25" customHeight="1" spans="1:9">
      <c r="A355" s="12">
        <v>43979</v>
      </c>
      <c r="B355" s="13" t="s">
        <v>22</v>
      </c>
      <c r="C355" s="13">
        <v>191641.5</v>
      </c>
      <c r="D355" s="13">
        <v>19549036.5</v>
      </c>
      <c r="E355" s="6" cm="1">
        <f t="array" ref="E355">_xlfn.XLOOKUP(1,(Лист2!A$2:A$505=A355)*(Лист2!B$2:B$505=B355),Лист2!C$2:C$505)</f>
        <v>54</v>
      </c>
      <c r="F355" s="6" cm="1">
        <f t="array" ref="F355">_xlfn.XLOOKUP(1,(Лист2!A$2:A$505=A355)*(Лист2!B$2:B$505=B355),Лист2!D$2:D$505)</f>
        <v>12409</v>
      </c>
      <c r="G355" s="6" cm="1">
        <f t="array" ref="G355">_xlfn.XLOOKUP(1,(Лист2!A$2:A$505=A355)*(Лист2!B$2:B$505=B355),Лист2!E$2:E$505)</f>
        <v>11582</v>
      </c>
      <c r="H355">
        <f t="shared" si="10"/>
        <v>362019.194444444</v>
      </c>
      <c r="I355">
        <f t="shared" si="11"/>
        <v>22</v>
      </c>
    </row>
    <row r="356" ht="14.25" customHeight="1" spans="1:9">
      <c r="A356" s="10">
        <v>43967</v>
      </c>
      <c r="B356" s="11" t="s">
        <v>23</v>
      </c>
      <c r="C356" s="11">
        <v>16368</v>
      </c>
      <c r="D356" s="11">
        <v>1316350.5</v>
      </c>
      <c r="E356" s="6" cm="1">
        <f t="array" ref="E356">_xlfn.XLOOKUP(1,(Лист2!A$2:A$505=A356)*(Лист2!B$2:B$505=B356),Лист2!C$2:C$505)</f>
        <v>16</v>
      </c>
      <c r="F356" s="6" cm="1">
        <f t="array" ref="F356">_xlfn.XLOOKUP(1,(Лист2!A$2:A$505=A356)*(Лист2!B$2:B$505=B356),Лист2!D$2:D$505)</f>
        <v>920</v>
      </c>
      <c r="G356" s="6" cm="1">
        <f t="array" ref="G356">_xlfn.XLOOKUP(1,(Лист2!A$2:A$505=A356)*(Лист2!B$2:B$505=B356),Лист2!E$2:E$505)</f>
        <v>818</v>
      </c>
      <c r="H356">
        <f t="shared" si="10"/>
        <v>82271.90625</v>
      </c>
      <c r="I356">
        <f t="shared" si="11"/>
        <v>20</v>
      </c>
    </row>
    <row r="357" ht="14.25" customHeight="1" spans="1:9">
      <c r="A357" s="12">
        <v>43970</v>
      </c>
      <c r="B357" s="13" t="s">
        <v>23</v>
      </c>
      <c r="C357" s="13">
        <v>14427</v>
      </c>
      <c r="D357" s="13">
        <v>1126810.5</v>
      </c>
      <c r="E357" s="6" cm="1">
        <f t="array" ref="E357">_xlfn.XLOOKUP(1,(Лист2!A$2:A$505=A357)*(Лист2!B$2:B$505=B357),Лист2!C$2:C$505)</f>
        <v>17</v>
      </c>
      <c r="F357" s="6" cm="1">
        <f t="array" ref="F357">_xlfn.XLOOKUP(1,(Лист2!A$2:A$505=A357)*(Лист2!B$2:B$505=B357),Лист2!D$2:D$505)</f>
        <v>857</v>
      </c>
      <c r="G357" s="6" cm="1">
        <f t="array" ref="G357">_xlfn.XLOOKUP(1,(Лист2!A$2:A$505=A357)*(Лист2!B$2:B$505=B357),Лист2!E$2:E$505)</f>
        <v>757</v>
      </c>
      <c r="H357">
        <f t="shared" si="10"/>
        <v>66282.9705882353</v>
      </c>
      <c r="I357">
        <f t="shared" si="11"/>
        <v>21</v>
      </c>
    </row>
    <row r="358" ht="14.25" customHeight="1" spans="1:9">
      <c r="A358" s="10">
        <v>43968</v>
      </c>
      <c r="B358" s="11" t="s">
        <v>23</v>
      </c>
      <c r="C358" s="11">
        <v>13440</v>
      </c>
      <c r="D358" s="11">
        <v>1157529</v>
      </c>
      <c r="E358" s="6" cm="1">
        <f t="array" ref="E358">_xlfn.XLOOKUP(1,(Лист2!A$2:A$505=A358)*(Лист2!B$2:B$505=B358),Лист2!C$2:C$505)</f>
        <v>16</v>
      </c>
      <c r="F358" s="6" cm="1">
        <f t="array" ref="F358">_xlfn.XLOOKUP(1,(Лист2!A$2:A$505=A358)*(Лист2!B$2:B$505=B358),Лист2!D$2:D$505)</f>
        <v>859</v>
      </c>
      <c r="G358" s="6" cm="1">
        <f t="array" ref="G358">_xlfn.XLOOKUP(1,(Лист2!A$2:A$505=A358)*(Лист2!B$2:B$505=B358),Лист2!E$2:E$505)</f>
        <v>746</v>
      </c>
      <c r="H358">
        <f t="shared" si="10"/>
        <v>72345.5625</v>
      </c>
      <c r="I358">
        <f t="shared" si="11"/>
        <v>20</v>
      </c>
    </row>
    <row r="359" ht="14.25" customHeight="1" spans="1:9">
      <c r="A359" s="12">
        <v>43960</v>
      </c>
      <c r="B359" s="13" t="s">
        <v>23</v>
      </c>
      <c r="C359" s="13">
        <v>11745</v>
      </c>
      <c r="D359" s="13">
        <v>955801.5</v>
      </c>
      <c r="E359" s="6" cm="1">
        <f t="array" ref="E359">_xlfn.XLOOKUP(1,(Лист2!A$2:A$505=A359)*(Лист2!B$2:B$505=B359),Лист2!C$2:C$505)</f>
        <v>15</v>
      </c>
      <c r="F359" s="6" cm="1">
        <f t="array" ref="F359">_xlfn.XLOOKUP(1,(Лист2!A$2:A$505=A359)*(Лист2!B$2:B$505=B359),Лист2!D$2:D$505)</f>
        <v>654</v>
      </c>
      <c r="G359" s="6" cm="1">
        <f t="array" ref="G359">_xlfn.XLOOKUP(1,(Лист2!A$2:A$505=A359)*(Лист2!B$2:B$505=B359),Лист2!E$2:E$505)</f>
        <v>570</v>
      </c>
      <c r="H359">
        <f t="shared" si="10"/>
        <v>63720.1</v>
      </c>
      <c r="I359">
        <f t="shared" si="11"/>
        <v>19</v>
      </c>
    </row>
    <row r="360" ht="14.25" customHeight="1" spans="1:9">
      <c r="A360" s="10">
        <v>43955</v>
      </c>
      <c r="B360" s="11" t="s">
        <v>23</v>
      </c>
      <c r="C360" s="11">
        <v>11062.5</v>
      </c>
      <c r="D360" s="11">
        <v>906343.5</v>
      </c>
      <c r="E360" s="6" cm="1">
        <f t="array" ref="E360">_xlfn.XLOOKUP(1,(Лист2!A$2:A$505=A360)*(Лист2!B$2:B$505=B360),Лист2!C$2:C$505)</f>
        <v>15</v>
      </c>
      <c r="F360" s="6" cm="1">
        <f t="array" ref="F360">_xlfn.XLOOKUP(1,(Лист2!A$2:A$505=A360)*(Лист2!B$2:B$505=B360),Лист2!D$2:D$505)</f>
        <v>622</v>
      </c>
      <c r="G360" s="6" cm="1">
        <f t="array" ref="G360">_xlfn.XLOOKUP(1,(Лист2!A$2:A$505=A360)*(Лист2!B$2:B$505=B360),Лист2!E$2:E$505)</f>
        <v>538</v>
      </c>
      <c r="H360">
        <f t="shared" si="10"/>
        <v>60422.9</v>
      </c>
      <c r="I360">
        <f t="shared" si="11"/>
        <v>19</v>
      </c>
    </row>
    <row r="361" ht="14.25" customHeight="1" spans="1:9">
      <c r="A361" s="12">
        <v>43953</v>
      </c>
      <c r="B361" s="13" t="s">
        <v>23</v>
      </c>
      <c r="C361" s="13">
        <v>10018.5</v>
      </c>
      <c r="D361" s="13">
        <v>816859.5</v>
      </c>
      <c r="E361" s="6" cm="1">
        <f t="array" ref="E361">_xlfn.XLOOKUP(1,(Лист2!A$2:A$505=A361)*(Лист2!B$2:B$505=B361),Лист2!C$2:C$505)</f>
        <v>15</v>
      </c>
      <c r="F361" s="6" cm="1">
        <f t="array" ref="F361">_xlfn.XLOOKUP(1,(Лист2!A$2:A$505=A361)*(Лист2!B$2:B$505=B361),Лист2!D$2:D$505)</f>
        <v>567</v>
      </c>
      <c r="G361" s="6" cm="1">
        <f t="array" ref="G361">_xlfn.XLOOKUP(1,(Лист2!A$2:A$505=A361)*(Лист2!B$2:B$505=B361),Лист2!E$2:E$505)</f>
        <v>493</v>
      </c>
      <c r="H361">
        <f t="shared" si="10"/>
        <v>54457.3</v>
      </c>
      <c r="I361">
        <f t="shared" si="11"/>
        <v>18</v>
      </c>
    </row>
    <row r="362" ht="14.25" customHeight="1" spans="1:9">
      <c r="A362" s="10">
        <v>43977</v>
      </c>
      <c r="B362" s="11" t="s">
        <v>24</v>
      </c>
      <c r="C362" s="11">
        <v>10437</v>
      </c>
      <c r="D362" s="11">
        <v>833815.5</v>
      </c>
      <c r="E362" s="6" cm="1">
        <f t="array" ref="E362">_xlfn.XLOOKUP(1,(Лист2!A$2:A$505=A362)*(Лист2!B$2:B$505=B362),Лист2!C$2:C$505)</f>
        <v>7</v>
      </c>
      <c r="F362" s="6" cm="1">
        <f t="array" ref="F362">_xlfn.XLOOKUP(1,(Лист2!A$2:A$505=A362)*(Лист2!B$2:B$505=B362),Лист2!D$2:D$505)</f>
        <v>577</v>
      </c>
      <c r="G362" s="6" cm="1">
        <f t="array" ref="G362">_xlfn.XLOOKUP(1,(Лист2!A$2:A$505=A362)*(Лист2!B$2:B$505=B362),Лист2!E$2:E$505)</f>
        <v>389</v>
      </c>
      <c r="H362">
        <f t="shared" si="10"/>
        <v>119116.5</v>
      </c>
      <c r="I362">
        <f t="shared" si="11"/>
        <v>22</v>
      </c>
    </row>
    <row r="363" ht="14.25" customHeight="1" spans="1:9">
      <c r="A363" s="12">
        <v>43952</v>
      </c>
      <c r="B363" s="13" t="s">
        <v>23</v>
      </c>
      <c r="C363" s="13">
        <v>13644</v>
      </c>
      <c r="D363" s="13">
        <v>1134444</v>
      </c>
      <c r="E363" s="6" cm="1">
        <f t="array" ref="E363">_xlfn.XLOOKUP(1,(Лист2!A$2:A$505=A363)*(Лист2!B$2:B$505=B363),Лист2!C$2:C$505)</f>
        <v>15</v>
      </c>
      <c r="F363" s="6" cm="1">
        <f t="array" ref="F363">_xlfn.XLOOKUP(1,(Лист2!A$2:A$505=A363)*(Лист2!B$2:B$505=B363),Лист2!D$2:D$505)</f>
        <v>721</v>
      </c>
      <c r="G363" s="6" cm="1">
        <f t="array" ref="G363">_xlfn.XLOOKUP(1,(Лист2!A$2:A$505=A363)*(Лист2!B$2:B$505=B363),Лист2!E$2:E$505)</f>
        <v>625</v>
      </c>
      <c r="H363">
        <f t="shared" si="10"/>
        <v>75629.6</v>
      </c>
      <c r="I363">
        <f t="shared" si="11"/>
        <v>18</v>
      </c>
    </row>
    <row r="364" ht="14.25" customHeight="1" spans="1:9">
      <c r="A364" s="10">
        <v>43963</v>
      </c>
      <c r="B364" s="11" t="s">
        <v>23</v>
      </c>
      <c r="C364" s="11">
        <v>13443</v>
      </c>
      <c r="D364" s="11">
        <v>1092277.5</v>
      </c>
      <c r="E364" s="6" cm="1">
        <f t="array" ref="E364">_xlfn.XLOOKUP(1,(Лист2!A$2:A$505=A364)*(Лист2!B$2:B$505=B364),Лист2!C$2:C$505)</f>
        <v>15</v>
      </c>
      <c r="F364" s="6" cm="1">
        <f t="array" ref="F364">_xlfn.XLOOKUP(1,(Лист2!A$2:A$505=A364)*(Лист2!B$2:B$505=B364),Лист2!D$2:D$505)</f>
        <v>750</v>
      </c>
      <c r="G364" s="6" cm="1">
        <f t="array" ref="G364">_xlfn.XLOOKUP(1,(Лист2!A$2:A$505=A364)*(Лист2!B$2:B$505=B364),Лист2!E$2:E$505)</f>
        <v>659</v>
      </c>
      <c r="H364">
        <f t="shared" si="10"/>
        <v>72818.5</v>
      </c>
      <c r="I364">
        <f t="shared" si="11"/>
        <v>20</v>
      </c>
    </row>
    <row r="365" ht="14.25" customHeight="1" spans="1:9">
      <c r="A365" s="12">
        <v>43972</v>
      </c>
      <c r="B365" s="13" t="s">
        <v>23</v>
      </c>
      <c r="C365" s="13">
        <v>14182.5</v>
      </c>
      <c r="D365" s="13">
        <v>1172574</v>
      </c>
      <c r="E365" s="6" cm="1">
        <f t="array" ref="E365">_xlfn.XLOOKUP(1,(Лист2!A$2:A$505=A365)*(Лист2!B$2:B$505=B365),Лист2!C$2:C$505)</f>
        <v>18</v>
      </c>
      <c r="F365" s="6" cm="1">
        <f t="array" ref="F365">_xlfn.XLOOKUP(1,(Лист2!A$2:A$505=A365)*(Лист2!B$2:B$505=B365),Лист2!D$2:D$505)</f>
        <v>888</v>
      </c>
      <c r="G365" s="6" cm="1">
        <f t="array" ref="G365">_xlfn.XLOOKUP(1,(Лист2!A$2:A$505=A365)*(Лист2!B$2:B$505=B365),Лист2!E$2:E$505)</f>
        <v>786</v>
      </c>
      <c r="H365">
        <f t="shared" si="10"/>
        <v>65143</v>
      </c>
      <c r="I365">
        <f t="shared" si="11"/>
        <v>21</v>
      </c>
    </row>
    <row r="366" ht="14.25" customHeight="1" spans="1:9">
      <c r="A366" s="10">
        <v>43971</v>
      </c>
      <c r="B366" s="11" t="s">
        <v>23</v>
      </c>
      <c r="C366" s="11">
        <v>14928</v>
      </c>
      <c r="D366" s="11">
        <v>1217749.5</v>
      </c>
      <c r="E366" s="6" cm="1">
        <f t="array" ref="E366">_xlfn.XLOOKUP(1,(Лист2!A$2:A$505=A366)*(Лист2!B$2:B$505=B366),Лист2!C$2:C$505)</f>
        <v>17</v>
      </c>
      <c r="F366" s="6" cm="1">
        <f t="array" ref="F366">_xlfn.XLOOKUP(1,(Лист2!A$2:A$505=A366)*(Лист2!B$2:B$505=B366),Лист2!D$2:D$505)</f>
        <v>890</v>
      </c>
      <c r="G366" s="6" cm="1">
        <f t="array" ref="G366">_xlfn.XLOOKUP(1,(Лист2!A$2:A$505=A366)*(Лист2!B$2:B$505=B366),Лист2!E$2:E$505)</f>
        <v>794</v>
      </c>
      <c r="H366">
        <f t="shared" si="10"/>
        <v>71632.3235294118</v>
      </c>
      <c r="I366">
        <f t="shared" si="11"/>
        <v>21</v>
      </c>
    </row>
    <row r="367" ht="14.25" customHeight="1" spans="1:9">
      <c r="A367" s="12">
        <v>43956</v>
      </c>
      <c r="B367" s="13" t="s">
        <v>23</v>
      </c>
      <c r="C367" s="13">
        <v>13941</v>
      </c>
      <c r="D367" s="13">
        <v>1145575.5</v>
      </c>
      <c r="E367" s="6" cm="1">
        <f t="array" ref="E367">_xlfn.XLOOKUP(1,(Лист2!A$2:A$505=A367)*(Лист2!B$2:B$505=B367),Лист2!C$2:C$505)</f>
        <v>15</v>
      </c>
      <c r="F367" s="6" cm="1">
        <f t="array" ref="F367">_xlfn.XLOOKUP(1,(Лист2!A$2:A$505=A367)*(Лист2!B$2:B$505=B367),Лист2!D$2:D$505)</f>
        <v>750</v>
      </c>
      <c r="G367" s="6" cm="1">
        <f t="array" ref="G367">_xlfn.XLOOKUP(1,(Лист2!A$2:A$505=A367)*(Лист2!B$2:B$505=B367),Лист2!E$2:E$505)</f>
        <v>658</v>
      </c>
      <c r="H367">
        <f t="shared" si="10"/>
        <v>76371.7</v>
      </c>
      <c r="I367">
        <f t="shared" si="11"/>
        <v>19</v>
      </c>
    </row>
    <row r="368" ht="14.25" customHeight="1" spans="1:9">
      <c r="A368" s="10">
        <v>43964</v>
      </c>
      <c r="B368" s="11" t="s">
        <v>23</v>
      </c>
      <c r="C368" s="11">
        <v>14643</v>
      </c>
      <c r="D368" s="11">
        <v>1172691</v>
      </c>
      <c r="E368" s="6" cm="1">
        <f t="array" ref="E368">_xlfn.XLOOKUP(1,(Лист2!A$2:A$505=A368)*(Лист2!B$2:B$505=B368),Лист2!C$2:C$505)</f>
        <v>15</v>
      </c>
      <c r="F368" s="6" cm="1">
        <f t="array" ref="F368">_xlfn.XLOOKUP(1,(Лист2!A$2:A$505=A368)*(Лист2!B$2:B$505=B368),Лист2!D$2:D$505)</f>
        <v>854</v>
      </c>
      <c r="G368" s="6" cm="1">
        <f t="array" ref="G368">_xlfn.XLOOKUP(1,(Лист2!A$2:A$505=A368)*(Лист2!B$2:B$505=B368),Лист2!E$2:E$505)</f>
        <v>756</v>
      </c>
      <c r="H368">
        <f t="shared" si="10"/>
        <v>78179.4</v>
      </c>
      <c r="I368">
        <f t="shared" si="11"/>
        <v>20</v>
      </c>
    </row>
    <row r="369" ht="14.25" customHeight="1" spans="1:9">
      <c r="A369" s="12">
        <v>43954</v>
      </c>
      <c r="B369" s="13" t="s">
        <v>23</v>
      </c>
      <c r="C369" s="13">
        <v>10032</v>
      </c>
      <c r="D369" s="13">
        <v>816150</v>
      </c>
      <c r="E369" s="6" cm="1">
        <f t="array" ref="E369">_xlfn.XLOOKUP(1,(Лист2!A$2:A$505=A369)*(Лист2!B$2:B$505=B369),Лист2!C$2:C$505)</f>
        <v>15</v>
      </c>
      <c r="F369" s="6" cm="1">
        <f t="array" ref="F369">_xlfn.XLOOKUP(1,(Лист2!A$2:A$505=A369)*(Лист2!B$2:B$505=B369),Лист2!D$2:D$505)</f>
        <v>585</v>
      </c>
      <c r="G369" s="6" cm="1">
        <f t="array" ref="G369">_xlfn.XLOOKUP(1,(Лист2!A$2:A$505=A369)*(Лист2!B$2:B$505=B369),Лист2!E$2:E$505)</f>
        <v>502</v>
      </c>
      <c r="H369">
        <f t="shared" si="10"/>
        <v>54410</v>
      </c>
      <c r="I369">
        <f t="shared" si="11"/>
        <v>18</v>
      </c>
    </row>
    <row r="370" ht="14.25" customHeight="1" spans="1:9">
      <c r="A370" s="10">
        <v>43957</v>
      </c>
      <c r="B370" s="11" t="s">
        <v>23</v>
      </c>
      <c r="C370" s="11">
        <v>12468</v>
      </c>
      <c r="D370" s="11">
        <v>1016566.5</v>
      </c>
      <c r="E370" s="6" cm="1">
        <f t="array" ref="E370">_xlfn.XLOOKUP(1,(Лист2!A$2:A$505=A370)*(Лист2!B$2:B$505=B370),Лист2!C$2:C$505)</f>
        <v>15</v>
      </c>
      <c r="F370" s="6" cm="1">
        <f t="array" ref="F370">_xlfn.XLOOKUP(1,(Лист2!A$2:A$505=A370)*(Лист2!B$2:B$505=B370),Лист2!D$2:D$505)</f>
        <v>701</v>
      </c>
      <c r="G370" s="6" cm="1">
        <f t="array" ref="G370">_xlfn.XLOOKUP(1,(Лист2!A$2:A$505=A370)*(Лист2!B$2:B$505=B370),Лист2!E$2:E$505)</f>
        <v>611</v>
      </c>
      <c r="H370">
        <f t="shared" si="10"/>
        <v>67771.1</v>
      </c>
      <c r="I370">
        <f t="shared" si="11"/>
        <v>19</v>
      </c>
    </row>
    <row r="371" ht="14.25" customHeight="1" spans="1:9">
      <c r="A371" s="12">
        <v>43974</v>
      </c>
      <c r="B371" s="13" t="s">
        <v>23</v>
      </c>
      <c r="C371" s="13">
        <v>17943</v>
      </c>
      <c r="D371" s="13">
        <v>1457391</v>
      </c>
      <c r="E371" s="6" cm="1">
        <f t="array" ref="E371">_xlfn.XLOOKUP(1,(Лист2!A$2:A$505=A371)*(Лист2!B$2:B$505=B371),Лист2!C$2:C$505)</f>
        <v>18</v>
      </c>
      <c r="F371" s="6" cm="1">
        <f t="array" ref="F371">_xlfn.XLOOKUP(1,(Лист2!A$2:A$505=A371)*(Лист2!B$2:B$505=B371),Лист2!D$2:D$505)</f>
        <v>1031</v>
      </c>
      <c r="G371" s="6" cm="1">
        <f t="array" ref="G371">_xlfn.XLOOKUP(1,(Лист2!A$2:A$505=A371)*(Лист2!B$2:B$505=B371),Лист2!E$2:E$505)</f>
        <v>918</v>
      </c>
      <c r="H371">
        <f t="shared" si="10"/>
        <v>80966.1666666667</v>
      </c>
      <c r="I371">
        <f t="shared" si="11"/>
        <v>21</v>
      </c>
    </row>
    <row r="372" ht="14.25" customHeight="1" spans="1:9">
      <c r="A372" s="10">
        <v>43976</v>
      </c>
      <c r="B372" s="11" t="s">
        <v>23</v>
      </c>
      <c r="C372" s="11">
        <v>15807</v>
      </c>
      <c r="D372" s="11">
        <v>1326705</v>
      </c>
      <c r="E372" s="6" cm="1">
        <f t="array" ref="E372">_xlfn.XLOOKUP(1,(Лист2!A$2:A$505=A372)*(Лист2!B$2:B$505=B372),Лист2!C$2:C$505)</f>
        <v>18</v>
      </c>
      <c r="F372" s="6" cm="1">
        <f t="array" ref="F372">_xlfn.XLOOKUP(1,(Лист2!A$2:A$505=A372)*(Лист2!B$2:B$505=B372),Лист2!D$2:D$505)</f>
        <v>989</v>
      </c>
      <c r="G372" s="6" cm="1">
        <f t="array" ref="G372">_xlfn.XLOOKUP(1,(Лист2!A$2:A$505=A372)*(Лист2!B$2:B$505=B372),Лист2!E$2:E$505)</f>
        <v>887</v>
      </c>
      <c r="H372">
        <f t="shared" si="10"/>
        <v>73705.8333333333</v>
      </c>
      <c r="I372">
        <f t="shared" si="11"/>
        <v>22</v>
      </c>
    </row>
    <row r="373" ht="14.25" customHeight="1" spans="1:9">
      <c r="A373" s="12">
        <v>43951</v>
      </c>
      <c r="B373" s="13" t="s">
        <v>23</v>
      </c>
      <c r="C373" s="13">
        <v>11976</v>
      </c>
      <c r="D373" s="13">
        <v>1004511</v>
      </c>
      <c r="E373" s="6" cm="1">
        <f t="array" ref="E373">_xlfn.XLOOKUP(1,(Лист2!A$2:A$505=A373)*(Лист2!B$2:B$505=B373),Лист2!C$2:C$505)</f>
        <v>15</v>
      </c>
      <c r="F373" s="6" cm="1">
        <f t="array" ref="F373">_xlfn.XLOOKUP(1,(Лист2!A$2:A$505=A373)*(Лист2!B$2:B$505=B373),Лист2!D$2:D$505)</f>
        <v>644</v>
      </c>
      <c r="G373" s="6" cm="1">
        <f t="array" ref="G373">_xlfn.XLOOKUP(1,(Лист2!A$2:A$505=A373)*(Лист2!B$2:B$505=B373),Лист2!E$2:E$505)</f>
        <v>550</v>
      </c>
      <c r="H373">
        <f t="shared" si="10"/>
        <v>66967.4</v>
      </c>
      <c r="I373">
        <f t="shared" si="11"/>
        <v>18</v>
      </c>
    </row>
    <row r="374" ht="14.25" customHeight="1" spans="1:9">
      <c r="A374" s="10">
        <v>43961</v>
      </c>
      <c r="B374" s="11" t="s">
        <v>23</v>
      </c>
      <c r="C374" s="11">
        <v>14566.5</v>
      </c>
      <c r="D374" s="11">
        <v>1216557</v>
      </c>
      <c r="E374" s="6" cm="1">
        <f t="array" ref="E374">_xlfn.XLOOKUP(1,(Лист2!A$2:A$505=A374)*(Лист2!B$2:B$505=B374),Лист2!C$2:C$505)</f>
        <v>15</v>
      </c>
      <c r="F374" s="6" cm="1">
        <f t="array" ref="F374">_xlfn.XLOOKUP(1,(Лист2!A$2:A$505=A374)*(Лист2!B$2:B$505=B374),Лист2!D$2:D$505)</f>
        <v>792</v>
      </c>
      <c r="G374" s="6" cm="1">
        <f t="array" ref="G374">_xlfn.XLOOKUP(1,(Лист2!A$2:A$505=A374)*(Лист2!B$2:B$505=B374),Лист2!E$2:E$505)</f>
        <v>695</v>
      </c>
      <c r="H374">
        <f t="shared" si="10"/>
        <v>81103.8</v>
      </c>
      <c r="I374">
        <f t="shared" si="11"/>
        <v>19</v>
      </c>
    </row>
    <row r="375" ht="14.25" customHeight="1" spans="1:9">
      <c r="A375" s="12">
        <v>43959</v>
      </c>
      <c r="B375" s="13" t="s">
        <v>23</v>
      </c>
      <c r="C375" s="13">
        <v>12976.5</v>
      </c>
      <c r="D375" s="13">
        <v>1046848.5</v>
      </c>
      <c r="E375" s="6" cm="1">
        <f t="array" ref="E375">_xlfn.XLOOKUP(1,(Лист2!A$2:A$505=A375)*(Лист2!B$2:B$505=B375),Лист2!C$2:C$505)</f>
        <v>15</v>
      </c>
      <c r="F375" s="6" cm="1">
        <f t="array" ref="F375">_xlfn.XLOOKUP(1,(Лист2!A$2:A$505=A375)*(Лист2!B$2:B$505=B375),Лист2!D$2:D$505)</f>
        <v>703</v>
      </c>
      <c r="G375" s="6" cm="1">
        <f t="array" ref="G375">_xlfn.XLOOKUP(1,(Лист2!A$2:A$505=A375)*(Лист2!B$2:B$505=B375),Лист2!E$2:E$505)</f>
        <v>609</v>
      </c>
      <c r="H375">
        <f t="shared" si="10"/>
        <v>69789.9</v>
      </c>
      <c r="I375">
        <f t="shared" si="11"/>
        <v>19</v>
      </c>
    </row>
    <row r="376" ht="14.25" customHeight="1" spans="1:9">
      <c r="A376" s="10">
        <v>43958</v>
      </c>
      <c r="B376" s="11" t="s">
        <v>23</v>
      </c>
      <c r="C376" s="11">
        <v>11719.5</v>
      </c>
      <c r="D376" s="11">
        <v>965880</v>
      </c>
      <c r="E376" s="6" cm="1">
        <f t="array" ref="E376">_xlfn.XLOOKUP(1,(Лист2!A$2:A$505=A376)*(Лист2!B$2:B$505=B376),Лист2!C$2:C$505)</f>
        <v>15</v>
      </c>
      <c r="F376" s="6" cm="1">
        <f t="array" ref="F376">_xlfn.XLOOKUP(1,(Лист2!A$2:A$505=A376)*(Лист2!B$2:B$505=B376),Лист2!D$2:D$505)</f>
        <v>676</v>
      </c>
      <c r="G376" s="6" cm="1">
        <f t="array" ref="G376">_xlfn.XLOOKUP(1,(Лист2!A$2:A$505=A376)*(Лист2!B$2:B$505=B376),Лист2!E$2:E$505)</f>
        <v>591</v>
      </c>
      <c r="H376">
        <f t="shared" si="10"/>
        <v>64392</v>
      </c>
      <c r="I376">
        <f t="shared" si="11"/>
        <v>19</v>
      </c>
    </row>
    <row r="377" ht="14.25" customHeight="1" spans="1:9">
      <c r="A377" s="12">
        <v>43975</v>
      </c>
      <c r="B377" s="13" t="s">
        <v>23</v>
      </c>
      <c r="C377" s="13">
        <v>17197.5</v>
      </c>
      <c r="D377" s="13">
        <v>1386262.5</v>
      </c>
      <c r="E377" s="6" cm="1">
        <f t="array" ref="E377">_xlfn.XLOOKUP(1,(Лист2!A$2:A$505=A377)*(Лист2!B$2:B$505=B377),Лист2!C$2:C$505)</f>
        <v>18</v>
      </c>
      <c r="F377" s="6" cm="1">
        <f t="array" ref="F377">_xlfn.XLOOKUP(1,(Лист2!A$2:A$505=A377)*(Лист2!B$2:B$505=B377),Лист2!D$2:D$505)</f>
        <v>1006</v>
      </c>
      <c r="G377" s="6" cm="1">
        <f t="array" ref="G377">_xlfn.XLOOKUP(1,(Лист2!A$2:A$505=A377)*(Лист2!B$2:B$505=B377),Лист2!E$2:E$505)</f>
        <v>904</v>
      </c>
      <c r="H377">
        <f t="shared" si="10"/>
        <v>77014.5833333333</v>
      </c>
      <c r="I377">
        <f t="shared" si="11"/>
        <v>21</v>
      </c>
    </row>
    <row r="378" ht="14.25" customHeight="1" spans="1:9">
      <c r="A378" s="10">
        <v>43977</v>
      </c>
      <c r="B378" s="11" t="s">
        <v>23</v>
      </c>
      <c r="C378" s="11">
        <v>14419.5</v>
      </c>
      <c r="D378" s="11">
        <v>1210456.5</v>
      </c>
      <c r="E378" s="6" cm="1">
        <f t="array" ref="E378">_xlfn.XLOOKUP(1,(Лист2!A$2:A$505=A378)*(Лист2!B$2:B$505=B378),Лист2!C$2:C$505)</f>
        <v>18</v>
      </c>
      <c r="F378" s="6" cm="1">
        <f t="array" ref="F378">_xlfn.XLOOKUP(1,(Лист2!A$2:A$505=A378)*(Лист2!B$2:B$505=B378),Лист2!D$2:D$505)</f>
        <v>914</v>
      </c>
      <c r="G378" s="6" cm="1">
        <f t="array" ref="G378">_xlfn.XLOOKUP(1,(Лист2!A$2:A$505=A378)*(Лист2!B$2:B$505=B378),Лист2!E$2:E$505)</f>
        <v>804</v>
      </c>
      <c r="H378">
        <f t="shared" si="10"/>
        <v>67247.5833333333</v>
      </c>
      <c r="I378">
        <f t="shared" si="11"/>
        <v>22</v>
      </c>
    </row>
    <row r="379" ht="14.25" customHeight="1" spans="1:9">
      <c r="A379" s="12">
        <v>43983</v>
      </c>
      <c r="B379" s="13" t="s">
        <v>9</v>
      </c>
      <c r="C379" s="13">
        <v>7816.5</v>
      </c>
      <c r="D379" s="13">
        <v>636345</v>
      </c>
      <c r="E379" s="6" cm="1">
        <f t="array" ref="E379">_xlfn.XLOOKUP(1,(Лист2!A$2:A$505=A379)*(Лист2!B$2:B$505=B379),Лист2!C$2:C$505)</f>
        <v>15</v>
      </c>
      <c r="F379" s="6" cm="1">
        <f t="array" ref="F379">_xlfn.XLOOKUP(1,(Лист2!A$2:A$505=A379)*(Лист2!B$2:B$505=B379),Лист2!D$2:D$505)</f>
        <v>453</v>
      </c>
      <c r="G379" s="6" cm="1">
        <f t="array" ref="G379">_xlfn.XLOOKUP(1,(Лист2!A$2:A$505=A379)*(Лист2!B$2:B$505=B379),Лист2!E$2:E$505)</f>
        <v>370</v>
      </c>
      <c r="H379">
        <f t="shared" si="10"/>
        <v>42423</v>
      </c>
      <c r="I379">
        <f t="shared" si="11"/>
        <v>23</v>
      </c>
    </row>
    <row r="380" ht="14.25" customHeight="1" spans="1:9">
      <c r="A380" s="10">
        <v>43982</v>
      </c>
      <c r="B380" s="11" t="s">
        <v>25</v>
      </c>
      <c r="C380" s="11">
        <v>6409.5</v>
      </c>
      <c r="D380" s="11">
        <v>493893</v>
      </c>
      <c r="E380" s="6" cm="1">
        <f t="array" ref="E380">_xlfn.XLOOKUP(1,(Лист2!A$2:A$505=A380)*(Лист2!B$2:B$505=B380),Лист2!C$2:C$505)</f>
        <v>9</v>
      </c>
      <c r="F380" s="6" cm="1">
        <f t="array" ref="F380">_xlfn.XLOOKUP(1,(Лист2!A$2:A$505=A380)*(Лист2!B$2:B$505=B380),Лист2!D$2:D$505)</f>
        <v>345</v>
      </c>
      <c r="G380" s="6" cm="1">
        <f t="array" ref="G380">_xlfn.XLOOKUP(1,(Лист2!A$2:A$505=A380)*(Лист2!B$2:B$505=B380),Лист2!E$2:E$505)</f>
        <v>255</v>
      </c>
      <c r="H380">
        <f t="shared" si="10"/>
        <v>54877</v>
      </c>
      <c r="I380">
        <f t="shared" si="11"/>
        <v>22</v>
      </c>
    </row>
    <row r="381" ht="14.25" customHeight="1" spans="1:9">
      <c r="A381" s="12">
        <v>43981</v>
      </c>
      <c r="B381" s="13" t="s">
        <v>24</v>
      </c>
      <c r="C381" s="13">
        <v>11220</v>
      </c>
      <c r="D381" s="13">
        <v>928675.5</v>
      </c>
      <c r="E381" s="6" cm="1">
        <f t="array" ref="E381">_xlfn.XLOOKUP(1,(Лист2!A$2:A$505=A381)*(Лист2!B$2:B$505=B381),Лист2!C$2:C$505)</f>
        <v>7</v>
      </c>
      <c r="F381" s="6" cm="1">
        <f t="array" ref="F381">_xlfn.XLOOKUP(1,(Лист2!A$2:A$505=A381)*(Лист2!B$2:B$505=B381),Лист2!D$2:D$505)</f>
        <v>532</v>
      </c>
      <c r="G381" s="6" cm="1">
        <f t="array" ref="G381">_xlfn.XLOOKUP(1,(Лист2!A$2:A$505=A381)*(Лист2!B$2:B$505=B381),Лист2!E$2:E$505)</f>
        <v>449</v>
      </c>
      <c r="H381">
        <f t="shared" si="10"/>
        <v>132667.928571429</v>
      </c>
      <c r="I381">
        <f t="shared" si="11"/>
        <v>22</v>
      </c>
    </row>
    <row r="382" ht="14.25" customHeight="1" spans="1:9">
      <c r="A382" s="10">
        <v>43980</v>
      </c>
      <c r="B382" s="11" t="s">
        <v>9</v>
      </c>
      <c r="C382" s="11">
        <v>8350.5</v>
      </c>
      <c r="D382" s="11">
        <v>651237</v>
      </c>
      <c r="E382" s="6" cm="1">
        <f t="array" ref="E382">_xlfn.XLOOKUP(1,(Лист2!A$2:A$505=A382)*(Лист2!B$2:B$505=B382),Лист2!C$2:C$505)</f>
        <v>15</v>
      </c>
      <c r="F382" s="6" cm="1">
        <f t="array" ref="F382">_xlfn.XLOOKUP(1,(Лист2!A$2:A$505=A382)*(Лист2!B$2:B$505=B382),Лист2!D$2:D$505)</f>
        <v>400</v>
      </c>
      <c r="G382" s="6" cm="1">
        <f t="array" ref="G382">_xlfn.XLOOKUP(1,(Лист2!A$2:A$505=A382)*(Лист2!B$2:B$505=B382),Лист2!E$2:E$505)</f>
        <v>329</v>
      </c>
      <c r="H382">
        <f t="shared" si="10"/>
        <v>43415.8</v>
      </c>
      <c r="I382">
        <f t="shared" si="11"/>
        <v>22</v>
      </c>
    </row>
    <row r="383" ht="14.25" customHeight="1" spans="1:9">
      <c r="A383" s="12">
        <v>43979</v>
      </c>
      <c r="B383" s="13" t="s">
        <v>24</v>
      </c>
      <c r="C383" s="13">
        <v>8428.5</v>
      </c>
      <c r="D383" s="13">
        <v>694669.5</v>
      </c>
      <c r="E383" s="6" cm="1">
        <f t="array" ref="E383">_xlfn.XLOOKUP(1,(Лист2!A$2:A$505=A383)*(Лист2!B$2:B$505=B383),Лист2!C$2:C$505)</f>
        <v>7</v>
      </c>
      <c r="F383" s="6" cm="1">
        <f t="array" ref="F383">_xlfn.XLOOKUP(1,(Лист2!A$2:A$505=A383)*(Лист2!B$2:B$505=B383),Лист2!D$2:D$505)</f>
        <v>420</v>
      </c>
      <c r="G383" s="6" cm="1">
        <f t="array" ref="G383">_xlfn.XLOOKUP(1,(Лист2!A$2:A$505=A383)*(Лист2!B$2:B$505=B383),Лист2!E$2:E$505)</f>
        <v>347</v>
      </c>
      <c r="H383">
        <f t="shared" si="10"/>
        <v>99238.5</v>
      </c>
      <c r="I383">
        <f t="shared" si="11"/>
        <v>22</v>
      </c>
    </row>
    <row r="384" ht="14.25" customHeight="1" spans="1:9">
      <c r="A384" s="10">
        <v>43978</v>
      </c>
      <c r="B384" s="11" t="s">
        <v>10</v>
      </c>
      <c r="C384" s="11">
        <v>32817</v>
      </c>
      <c r="D384" s="11">
        <v>3015751.5</v>
      </c>
      <c r="E384" s="6" cm="1">
        <f t="array" ref="E384">_xlfn.XLOOKUP(1,(Лист2!A$2:A$505=A384)*(Лист2!B$2:B$505=B384),Лист2!C$2:C$505)</f>
        <v>20</v>
      </c>
      <c r="F384" s="6" cm="1">
        <f t="array" ref="F384">_xlfn.XLOOKUP(1,(Лист2!A$2:A$505=A384)*(Лист2!B$2:B$505=B384),Лист2!D$2:D$505)</f>
        <v>2079</v>
      </c>
      <c r="G384" s="6" cm="1">
        <f t="array" ref="G384">_xlfn.XLOOKUP(1,(Лист2!A$2:A$505=A384)*(Лист2!B$2:B$505=B384),Лист2!E$2:E$505)</f>
        <v>1893</v>
      </c>
      <c r="H384">
        <f t="shared" si="10"/>
        <v>150787.575</v>
      </c>
      <c r="I384">
        <f t="shared" si="11"/>
        <v>22</v>
      </c>
    </row>
    <row r="385" ht="14.25" customHeight="1" spans="1:9">
      <c r="A385" s="12">
        <v>43973</v>
      </c>
      <c r="B385" s="13" t="s">
        <v>10</v>
      </c>
      <c r="C385" s="13">
        <v>36031.5</v>
      </c>
      <c r="D385" s="13">
        <v>3091069.5</v>
      </c>
      <c r="E385" s="6" cm="1">
        <f t="array" ref="E385">_xlfn.XLOOKUP(1,(Лист2!A$2:A$505=A385)*(Лист2!B$2:B$505=B385),Лист2!C$2:C$505)</f>
        <v>21</v>
      </c>
      <c r="F385" s="6" cm="1">
        <f t="array" ref="F385">_xlfn.XLOOKUP(1,(Лист2!A$2:A$505=A385)*(Лист2!B$2:B$505=B385),Лист2!D$2:D$505)</f>
        <v>2046</v>
      </c>
      <c r="G385" s="6" cm="1">
        <f t="array" ref="G385">_xlfn.XLOOKUP(1,(Лист2!A$2:A$505=A385)*(Лист2!B$2:B$505=B385),Лист2!E$2:E$505)</f>
        <v>1853</v>
      </c>
      <c r="H385">
        <f t="shared" si="10"/>
        <v>147193.785714286</v>
      </c>
      <c r="I385">
        <f t="shared" si="11"/>
        <v>21</v>
      </c>
    </row>
    <row r="386" ht="14.25" customHeight="1" spans="1:9">
      <c r="A386" s="10">
        <v>43982</v>
      </c>
      <c r="B386" s="11" t="s">
        <v>26</v>
      </c>
      <c r="C386" s="11">
        <v>5127</v>
      </c>
      <c r="D386" s="11">
        <v>468835.5</v>
      </c>
      <c r="E386" s="6" cm="1">
        <f t="array" ref="E386">_xlfn.XLOOKUP(1,(Лист2!A$2:A$505=A386)*(Лист2!B$2:B$505=B386),Лист2!C$2:C$505)</f>
        <v>6</v>
      </c>
      <c r="F386" s="6" cm="1">
        <f t="array" ref="F386">_xlfn.XLOOKUP(1,(Лист2!A$2:A$505=A386)*(Лист2!B$2:B$505=B386),Лист2!D$2:D$505)</f>
        <v>261</v>
      </c>
      <c r="G386" s="6" cm="1">
        <f t="array" ref="G386">_xlfn.XLOOKUP(1,(Лист2!A$2:A$505=A386)*(Лист2!B$2:B$505=B386),Лист2!E$2:E$505)</f>
        <v>188</v>
      </c>
      <c r="H386">
        <f t="shared" si="10"/>
        <v>78139.25</v>
      </c>
      <c r="I386">
        <f t="shared" si="11"/>
        <v>22</v>
      </c>
    </row>
    <row r="387" ht="14.25" customHeight="1" spans="1:9">
      <c r="A387" s="12">
        <v>43962</v>
      </c>
      <c r="B387" s="13" t="s">
        <v>10</v>
      </c>
      <c r="C387" s="13">
        <v>27187.5</v>
      </c>
      <c r="D387" s="13">
        <v>2479396.5</v>
      </c>
      <c r="E387" s="6" cm="1">
        <f t="array" ref="E387">_xlfn.XLOOKUP(1,(Лист2!A$2:A$505=A387)*(Лист2!B$2:B$505=B387),Лист2!C$2:C$505)</f>
        <v>21</v>
      </c>
      <c r="F387" s="6" cm="1">
        <f t="array" ref="F387">_xlfn.XLOOKUP(1,(Лист2!A$2:A$505=A387)*(Лист2!B$2:B$505=B387),Лист2!D$2:D$505)</f>
        <v>1597</v>
      </c>
      <c r="G387" s="6" cm="1">
        <f t="array" ref="G387">_xlfn.XLOOKUP(1,(Лист2!A$2:A$505=A387)*(Лист2!B$2:B$505=B387),Лист2!E$2:E$505)</f>
        <v>1457</v>
      </c>
      <c r="H387">
        <f t="shared" ref="H387:H450" si="12">D387/E387</f>
        <v>118066.5</v>
      </c>
      <c r="I387">
        <f t="shared" ref="I387:I450" si="13">WEEKNUM(A387,2)</f>
        <v>20</v>
      </c>
    </row>
    <row r="388" ht="14.25" customHeight="1" spans="1:9">
      <c r="A388" s="10">
        <v>43981</v>
      </c>
      <c r="B388" s="11" t="s">
        <v>23</v>
      </c>
      <c r="C388" s="11">
        <v>20688</v>
      </c>
      <c r="D388" s="11">
        <v>1773154.5</v>
      </c>
      <c r="E388" s="6" cm="1">
        <f t="array" ref="E388">_xlfn.XLOOKUP(1,(Лист2!A$2:A$505=A388)*(Лист2!B$2:B$505=B388),Лист2!C$2:C$505)</f>
        <v>18</v>
      </c>
      <c r="F388" s="6" cm="1">
        <f t="array" ref="F388">_xlfn.XLOOKUP(1,(Лист2!A$2:A$505=A388)*(Лист2!B$2:B$505=B388),Лист2!D$2:D$505)</f>
        <v>1216</v>
      </c>
      <c r="G388" s="6" cm="1">
        <f t="array" ref="G388">_xlfn.XLOOKUP(1,(Лист2!A$2:A$505=A388)*(Лист2!B$2:B$505=B388),Лист2!E$2:E$505)</f>
        <v>1101</v>
      </c>
      <c r="H388">
        <f t="shared" si="12"/>
        <v>98508.5833333333</v>
      </c>
      <c r="I388">
        <f t="shared" si="13"/>
        <v>22</v>
      </c>
    </row>
    <row r="389" ht="14.25" customHeight="1" spans="1:9">
      <c r="A389" s="12">
        <v>43979</v>
      </c>
      <c r="B389" s="13" t="s">
        <v>23</v>
      </c>
      <c r="C389" s="13">
        <v>15678</v>
      </c>
      <c r="D389" s="13">
        <v>1387443</v>
      </c>
      <c r="E389" s="6" cm="1">
        <f t="array" ref="E389">_xlfn.XLOOKUP(1,(Лист2!A$2:A$505=A389)*(Лист2!B$2:B$505=B389),Лист2!C$2:C$505)</f>
        <v>18</v>
      </c>
      <c r="F389" s="6" cm="1">
        <f t="array" ref="F389">_xlfn.XLOOKUP(1,(Лист2!A$2:A$505=A389)*(Лист2!B$2:B$505=B389),Лист2!D$2:D$505)</f>
        <v>1020</v>
      </c>
      <c r="G389" s="6" cm="1">
        <f t="array" ref="G389">_xlfn.XLOOKUP(1,(Лист2!A$2:A$505=A389)*(Лист2!B$2:B$505=B389),Лист2!E$2:E$505)</f>
        <v>911</v>
      </c>
      <c r="H389">
        <f t="shared" si="12"/>
        <v>77080.1666666667</v>
      </c>
      <c r="I389">
        <f t="shared" si="13"/>
        <v>22</v>
      </c>
    </row>
    <row r="390" ht="14.25" customHeight="1" spans="1:9">
      <c r="A390" s="10">
        <v>43969</v>
      </c>
      <c r="B390" s="11" t="s">
        <v>10</v>
      </c>
      <c r="C390" s="11">
        <v>31329</v>
      </c>
      <c r="D390" s="11">
        <v>2826379.5</v>
      </c>
      <c r="E390" s="6" cm="1">
        <f t="array" ref="E390">_xlfn.XLOOKUP(1,(Лист2!A$2:A$505=A390)*(Лист2!B$2:B$505=B390),Лист2!C$2:C$505)</f>
        <v>21</v>
      </c>
      <c r="F390" s="6" cm="1">
        <f t="array" ref="F390">_xlfn.XLOOKUP(1,(Лист2!A$2:A$505=A390)*(Лист2!B$2:B$505=B390),Лист2!D$2:D$505)</f>
        <v>1834</v>
      </c>
      <c r="G390" s="6" cm="1">
        <f t="array" ref="G390">_xlfn.XLOOKUP(1,(Лист2!A$2:A$505=A390)*(Лист2!B$2:B$505=B390),Лист2!E$2:E$505)</f>
        <v>1660</v>
      </c>
      <c r="H390">
        <f t="shared" si="12"/>
        <v>134589.5</v>
      </c>
      <c r="I390">
        <f t="shared" si="13"/>
        <v>21</v>
      </c>
    </row>
    <row r="391" ht="14.25" customHeight="1" spans="1:9">
      <c r="A391" s="12">
        <v>43965</v>
      </c>
      <c r="B391" s="13" t="s">
        <v>10</v>
      </c>
      <c r="C391" s="13">
        <v>29658</v>
      </c>
      <c r="D391" s="13">
        <v>2703132</v>
      </c>
      <c r="E391" s="6" cm="1">
        <f t="array" ref="E391">_xlfn.XLOOKUP(1,(Лист2!A$2:A$505=A391)*(Лист2!B$2:B$505=B391),Лист2!C$2:C$505)</f>
        <v>21</v>
      </c>
      <c r="F391" s="6" cm="1">
        <f t="array" ref="F391">_xlfn.XLOOKUP(1,(Лист2!A$2:A$505=A391)*(Лист2!B$2:B$505=B391),Лист2!D$2:D$505)</f>
        <v>1706</v>
      </c>
      <c r="G391" s="6" cm="1">
        <f t="array" ref="G391">_xlfn.XLOOKUP(1,(Лист2!A$2:A$505=A391)*(Лист2!B$2:B$505=B391),Лист2!E$2:E$505)</f>
        <v>1548</v>
      </c>
      <c r="H391">
        <f t="shared" si="12"/>
        <v>128720.571428571</v>
      </c>
      <c r="I391">
        <f t="shared" si="13"/>
        <v>20</v>
      </c>
    </row>
    <row r="392" ht="14.25" customHeight="1" spans="1:9">
      <c r="A392" s="10">
        <v>43966</v>
      </c>
      <c r="B392" s="11" t="s">
        <v>10</v>
      </c>
      <c r="C392" s="11">
        <v>34150.5</v>
      </c>
      <c r="D392" s="11">
        <v>3038293.5</v>
      </c>
      <c r="E392" s="6" cm="1">
        <f t="array" ref="E392">_xlfn.XLOOKUP(1,(Лист2!A$2:A$505=A392)*(Лист2!B$2:B$505=B392),Лист2!C$2:C$505)</f>
        <v>21</v>
      </c>
      <c r="F392" s="6" cm="1">
        <f t="array" ref="F392">_xlfn.XLOOKUP(1,(Лист2!A$2:A$505=A392)*(Лист2!B$2:B$505=B392),Лист2!D$2:D$505)</f>
        <v>1926</v>
      </c>
      <c r="G392" s="6" cm="1">
        <f t="array" ref="G392">_xlfn.XLOOKUP(1,(Лист2!A$2:A$505=A392)*(Лист2!B$2:B$505=B392),Лист2!E$2:E$505)</f>
        <v>1742</v>
      </c>
      <c r="H392">
        <f t="shared" si="12"/>
        <v>144680.642857143</v>
      </c>
      <c r="I392">
        <f t="shared" si="13"/>
        <v>20</v>
      </c>
    </row>
    <row r="393" ht="14.25" customHeight="1" spans="1:9">
      <c r="A393" s="12">
        <v>43983</v>
      </c>
      <c r="B393" s="13" t="s">
        <v>10</v>
      </c>
      <c r="C393" s="13">
        <v>31947</v>
      </c>
      <c r="D393" s="13">
        <v>2945035.5</v>
      </c>
      <c r="E393" s="6" cm="1">
        <f t="array" ref="E393">_xlfn.XLOOKUP(1,(Лист2!A$2:A$505=A393)*(Лист2!B$2:B$505=B393),Лист2!C$2:C$505)</f>
        <v>21</v>
      </c>
      <c r="F393" s="6" cm="1">
        <f t="array" ref="F393">_xlfn.XLOOKUP(1,(Лист2!A$2:A$505=A393)*(Лист2!B$2:B$505=B393),Лист2!D$2:D$505)</f>
        <v>2025</v>
      </c>
      <c r="G393" s="6" cm="1">
        <f t="array" ref="G393">_xlfn.XLOOKUP(1,(Лист2!A$2:A$505=A393)*(Лист2!B$2:B$505=B393),Лист2!E$2:E$505)</f>
        <v>1849</v>
      </c>
      <c r="H393">
        <f t="shared" si="12"/>
        <v>140239.785714286</v>
      </c>
      <c r="I393">
        <f t="shared" si="13"/>
        <v>23</v>
      </c>
    </row>
    <row r="394" ht="14.25" customHeight="1" spans="1:9">
      <c r="A394" s="10">
        <v>43982</v>
      </c>
      <c r="B394" s="11" t="s">
        <v>24</v>
      </c>
      <c r="C394" s="11">
        <v>10416</v>
      </c>
      <c r="D394" s="11">
        <v>866023.5</v>
      </c>
      <c r="E394" s="6" cm="1">
        <f t="array" ref="E394">_xlfn.XLOOKUP(1,(Лист2!A$2:A$505=A394)*(Лист2!B$2:B$505=B394),Лист2!C$2:C$505)</f>
        <v>7</v>
      </c>
      <c r="F394" s="6" cm="1">
        <f t="array" ref="F394">_xlfn.XLOOKUP(1,(Лист2!A$2:A$505=A394)*(Лист2!B$2:B$505=B394),Лист2!D$2:D$505)</f>
        <v>530</v>
      </c>
      <c r="G394" s="6" cm="1">
        <f t="array" ref="G394">_xlfn.XLOOKUP(1,(Лист2!A$2:A$505=A394)*(Лист2!B$2:B$505=B394),Лист2!E$2:E$505)</f>
        <v>447</v>
      </c>
      <c r="H394">
        <f t="shared" si="12"/>
        <v>123717.642857143</v>
      </c>
      <c r="I394">
        <f t="shared" si="13"/>
        <v>22</v>
      </c>
    </row>
    <row r="395" ht="14.25" customHeight="1" spans="1:9">
      <c r="A395" s="12">
        <v>43980</v>
      </c>
      <c r="B395" s="13" t="s">
        <v>10</v>
      </c>
      <c r="C395" s="13">
        <v>35431.5</v>
      </c>
      <c r="D395" s="13">
        <v>3193167</v>
      </c>
      <c r="E395" s="6" cm="1">
        <f t="array" ref="E395">_xlfn.XLOOKUP(1,(Лист2!A$2:A$505=A395)*(Лист2!B$2:B$505=B395),Лист2!C$2:C$505)</f>
        <v>20</v>
      </c>
      <c r="F395" s="6" cm="1">
        <f t="array" ref="F395">_xlfn.XLOOKUP(1,(Лист2!A$2:A$505=A395)*(Лист2!B$2:B$505=B395),Лист2!D$2:D$505)</f>
        <v>2111</v>
      </c>
      <c r="G395" s="6" cm="1">
        <f t="array" ref="G395">_xlfn.XLOOKUP(1,(Лист2!A$2:A$505=A395)*(Лист2!B$2:B$505=B395),Лист2!E$2:E$505)</f>
        <v>1917</v>
      </c>
      <c r="H395">
        <f t="shared" si="12"/>
        <v>159658.35</v>
      </c>
      <c r="I395">
        <f t="shared" si="13"/>
        <v>22</v>
      </c>
    </row>
    <row r="396" ht="14.25" customHeight="1" spans="1:9">
      <c r="A396" s="10">
        <v>43978</v>
      </c>
      <c r="B396" s="11" t="s">
        <v>11</v>
      </c>
      <c r="C396" s="11">
        <v>78544.5</v>
      </c>
      <c r="D396" s="11">
        <v>6701083.5</v>
      </c>
      <c r="E396" s="6" cm="1">
        <f t="array" ref="E396">_xlfn.XLOOKUP(1,(Лист2!A$2:A$505=A396)*(Лист2!B$2:B$505=B396),Лист2!C$2:C$505)</f>
        <v>31</v>
      </c>
      <c r="F396" s="6" cm="1">
        <f t="array" ref="F396">_xlfn.XLOOKUP(1,(Лист2!A$2:A$505=A396)*(Лист2!B$2:B$505=B396),Лист2!D$2:D$505)</f>
        <v>5330</v>
      </c>
      <c r="G396" s="6" cm="1">
        <f t="array" ref="G396">_xlfn.XLOOKUP(1,(Лист2!A$2:A$505=A396)*(Лист2!B$2:B$505=B396),Лист2!E$2:E$505)</f>
        <v>4977</v>
      </c>
      <c r="H396">
        <f t="shared" si="12"/>
        <v>216163.983870968</v>
      </c>
      <c r="I396">
        <f t="shared" si="13"/>
        <v>22</v>
      </c>
    </row>
    <row r="397" ht="14.25" customHeight="1" spans="1:9">
      <c r="A397" s="12">
        <v>43973</v>
      </c>
      <c r="B397" s="13" t="s">
        <v>11</v>
      </c>
      <c r="C397" s="13">
        <v>97963.5</v>
      </c>
      <c r="D397" s="13">
        <v>7728465</v>
      </c>
      <c r="E397" s="6" cm="1">
        <f t="array" ref="E397">_xlfn.XLOOKUP(1,(Лист2!A$2:A$505=A397)*(Лист2!B$2:B$505=B397),Лист2!C$2:C$505)</f>
        <v>31</v>
      </c>
      <c r="F397" s="6" cm="1">
        <f t="array" ref="F397">_xlfn.XLOOKUP(1,(Лист2!A$2:A$505=A397)*(Лист2!B$2:B$505=B397),Лист2!D$2:D$505)</f>
        <v>5965</v>
      </c>
      <c r="G397" s="6" cm="1">
        <f t="array" ref="G397">_xlfn.XLOOKUP(1,(Лист2!A$2:A$505=A397)*(Лист2!B$2:B$505=B397),Лист2!E$2:E$505)</f>
        <v>5533</v>
      </c>
      <c r="H397">
        <f t="shared" si="12"/>
        <v>249305.322580645</v>
      </c>
      <c r="I397">
        <f t="shared" si="13"/>
        <v>21</v>
      </c>
    </row>
    <row r="398" ht="14.25" customHeight="1" spans="1:9">
      <c r="A398" s="10">
        <v>43983</v>
      </c>
      <c r="B398" s="11" t="s">
        <v>11</v>
      </c>
      <c r="C398" s="11">
        <v>77269.5</v>
      </c>
      <c r="D398" s="11">
        <v>6829921.5</v>
      </c>
      <c r="E398" s="6" cm="1">
        <f t="array" ref="E398">_xlfn.XLOOKUP(1,(Лист2!A$2:A$505=A398)*(Лист2!B$2:B$505=B398),Лист2!C$2:C$505)</f>
        <v>31</v>
      </c>
      <c r="F398" s="6" cm="1">
        <f t="array" ref="F398">_xlfn.XLOOKUP(1,(Лист2!A$2:A$505=A398)*(Лист2!B$2:B$505=B398),Лист2!D$2:D$505)</f>
        <v>5468</v>
      </c>
      <c r="G398" s="6" cm="1">
        <f t="array" ref="G398">_xlfn.XLOOKUP(1,(Лист2!A$2:A$505=A398)*(Лист2!B$2:B$505=B398),Лист2!E$2:E$505)</f>
        <v>5081</v>
      </c>
      <c r="H398">
        <f t="shared" si="12"/>
        <v>220320.048387097</v>
      </c>
      <c r="I398">
        <f t="shared" si="13"/>
        <v>23</v>
      </c>
    </row>
    <row r="399" ht="14.25" customHeight="1" spans="1:9">
      <c r="A399" s="12">
        <v>43982</v>
      </c>
      <c r="B399" s="13" t="s">
        <v>23</v>
      </c>
      <c r="C399" s="13">
        <v>16143</v>
      </c>
      <c r="D399" s="13">
        <v>1423410</v>
      </c>
      <c r="E399" s="6" cm="1">
        <f t="array" ref="E399">_xlfn.XLOOKUP(1,(Лист2!A$2:A$505=A399)*(Лист2!B$2:B$505=B399),Лист2!C$2:C$505)</f>
        <v>18</v>
      </c>
      <c r="F399" s="6" cm="1">
        <f t="array" ref="F399">_xlfn.XLOOKUP(1,(Лист2!A$2:A$505=A399)*(Лист2!B$2:B$505=B399),Лист2!D$2:D$505)</f>
        <v>1029</v>
      </c>
      <c r="G399" s="6" cm="1">
        <f t="array" ref="G399">_xlfn.XLOOKUP(1,(Лист2!A$2:A$505=A399)*(Лист2!B$2:B$505=B399),Лист2!E$2:E$505)</f>
        <v>925</v>
      </c>
      <c r="H399">
        <f t="shared" si="12"/>
        <v>79078.3333333333</v>
      </c>
      <c r="I399">
        <f t="shared" si="13"/>
        <v>22</v>
      </c>
    </row>
    <row r="400" ht="14.25" customHeight="1" spans="1:9">
      <c r="A400" s="10">
        <v>43962</v>
      </c>
      <c r="B400" s="11" t="s">
        <v>11</v>
      </c>
      <c r="C400" s="11">
        <v>72220.5</v>
      </c>
      <c r="D400" s="11">
        <v>6398719.5</v>
      </c>
      <c r="E400" s="6" cm="1">
        <f t="array" ref="E400">_xlfn.XLOOKUP(1,(Лист2!A$2:A$505=A400)*(Лист2!B$2:B$505=B400),Лист2!C$2:C$505)</f>
        <v>31</v>
      </c>
      <c r="F400" s="6" cm="1">
        <f t="array" ref="F400">_xlfn.XLOOKUP(1,(Лист2!A$2:A$505=A400)*(Лист2!B$2:B$505=B400),Лист2!D$2:D$505)</f>
        <v>4826</v>
      </c>
      <c r="G400" s="6" cm="1">
        <f t="array" ref="G400">_xlfn.XLOOKUP(1,(Лист2!A$2:A$505=A400)*(Лист2!B$2:B$505=B400),Лист2!E$2:E$505)</f>
        <v>4483</v>
      </c>
      <c r="H400">
        <f t="shared" si="12"/>
        <v>206410.306451613</v>
      </c>
      <c r="I400">
        <f t="shared" si="13"/>
        <v>20</v>
      </c>
    </row>
    <row r="401" ht="14.25" customHeight="1" spans="1:9">
      <c r="A401" s="12">
        <v>43969</v>
      </c>
      <c r="B401" s="13" t="s">
        <v>11</v>
      </c>
      <c r="C401" s="13">
        <v>78058.5</v>
      </c>
      <c r="D401" s="13">
        <v>6609714</v>
      </c>
      <c r="E401" s="6" cm="1">
        <f t="array" ref="E401">_xlfn.XLOOKUP(1,(Лист2!A$2:A$505=A401)*(Лист2!B$2:B$505=B401),Лист2!C$2:C$505)</f>
        <v>31</v>
      </c>
      <c r="F401" s="6" cm="1">
        <f t="array" ref="F401">_xlfn.XLOOKUP(1,(Лист2!A$2:A$505=A401)*(Лист2!B$2:B$505=B401),Лист2!D$2:D$505)</f>
        <v>5165</v>
      </c>
      <c r="G401" s="6" cm="1">
        <f t="array" ref="G401">_xlfn.XLOOKUP(1,(Лист2!A$2:A$505=A401)*(Лист2!B$2:B$505=B401),Лист2!E$2:E$505)</f>
        <v>4813</v>
      </c>
      <c r="H401">
        <f t="shared" si="12"/>
        <v>213216.580645161</v>
      </c>
      <c r="I401">
        <f t="shared" si="13"/>
        <v>21</v>
      </c>
    </row>
    <row r="402" ht="14.25" customHeight="1" spans="1:9">
      <c r="A402" s="10">
        <v>43965</v>
      </c>
      <c r="B402" s="11" t="s">
        <v>11</v>
      </c>
      <c r="C402" s="11">
        <v>70498.5</v>
      </c>
      <c r="D402" s="11">
        <v>6053649</v>
      </c>
      <c r="E402" s="6" cm="1">
        <f t="array" ref="E402">_xlfn.XLOOKUP(1,(Лист2!A$2:A$505=A402)*(Лист2!B$2:B$505=B402),Лист2!C$2:C$505)</f>
        <v>31</v>
      </c>
      <c r="F402" s="6" cm="1">
        <f t="array" ref="F402">_xlfn.XLOOKUP(1,(Лист2!A$2:A$505=A402)*(Лист2!B$2:B$505=B402),Лист2!D$2:D$505)</f>
        <v>4695</v>
      </c>
      <c r="G402" s="6" cm="1">
        <f t="array" ref="G402">_xlfn.XLOOKUP(1,(Лист2!A$2:A$505=A402)*(Лист2!B$2:B$505=B402),Лист2!E$2:E$505)</f>
        <v>4372</v>
      </c>
      <c r="H402">
        <f t="shared" si="12"/>
        <v>195279</v>
      </c>
      <c r="I402">
        <f t="shared" si="13"/>
        <v>20</v>
      </c>
    </row>
    <row r="403" ht="14.25" customHeight="1" spans="1:9">
      <c r="A403" s="12">
        <v>43966</v>
      </c>
      <c r="B403" s="13" t="s">
        <v>11</v>
      </c>
      <c r="C403" s="13">
        <v>78961.5</v>
      </c>
      <c r="D403" s="13">
        <v>6876454.5</v>
      </c>
      <c r="E403" s="6" cm="1">
        <f t="array" ref="E403">_xlfn.XLOOKUP(1,(Лист2!A$2:A$505=A403)*(Лист2!B$2:B$505=B403),Лист2!C$2:C$505)</f>
        <v>31</v>
      </c>
      <c r="F403" s="6" cm="1">
        <f t="array" ref="F403">_xlfn.XLOOKUP(1,(Лист2!A$2:A$505=A403)*(Лист2!B$2:B$505=B403),Лист2!D$2:D$505)</f>
        <v>5184</v>
      </c>
      <c r="G403" s="6" cm="1">
        <f t="array" ref="G403">_xlfn.XLOOKUP(1,(Лист2!A$2:A$505=A403)*(Лист2!B$2:B$505=B403),Лист2!E$2:E$505)</f>
        <v>4778</v>
      </c>
      <c r="H403">
        <f t="shared" si="12"/>
        <v>221821.112903226</v>
      </c>
      <c r="I403">
        <f t="shared" si="13"/>
        <v>20</v>
      </c>
    </row>
    <row r="404" ht="14.25" customHeight="1" spans="1:9">
      <c r="A404" s="10">
        <v>43978</v>
      </c>
      <c r="B404" s="11" t="s">
        <v>12</v>
      </c>
      <c r="C404" s="11">
        <v>12490.5</v>
      </c>
      <c r="D404" s="11">
        <v>1054798.5</v>
      </c>
      <c r="E404" s="6" cm="1">
        <f t="array" ref="E404">_xlfn.XLOOKUP(1,(Лист2!A$2:A$505=A404)*(Лист2!B$2:B$505=B404),Лист2!C$2:C$505)</f>
        <v>10</v>
      </c>
      <c r="F404" s="6" cm="1">
        <f t="array" ref="F404">_xlfn.XLOOKUP(1,(Лист2!A$2:A$505=A404)*(Лист2!B$2:B$505=B404),Лист2!D$2:D$505)</f>
        <v>757</v>
      </c>
      <c r="G404" s="6" cm="1">
        <f t="array" ref="G404">_xlfn.XLOOKUP(1,(Лист2!A$2:A$505=A404)*(Лист2!B$2:B$505=B404),Лист2!E$2:E$505)</f>
        <v>660</v>
      </c>
      <c r="H404">
        <f t="shared" si="12"/>
        <v>105479.85</v>
      </c>
      <c r="I404">
        <f t="shared" si="13"/>
        <v>22</v>
      </c>
    </row>
    <row r="405" ht="14.25" customHeight="1" spans="1:9">
      <c r="A405" s="12">
        <v>43973</v>
      </c>
      <c r="B405" s="13" t="s">
        <v>12</v>
      </c>
      <c r="C405" s="13">
        <v>18036</v>
      </c>
      <c r="D405" s="13">
        <v>1455049.5</v>
      </c>
      <c r="E405" s="6" cm="1">
        <f t="array" ref="E405">_xlfn.XLOOKUP(1,(Лист2!A$2:A$505=A405)*(Лист2!B$2:B$505=B405),Лист2!C$2:C$505)</f>
        <v>10</v>
      </c>
      <c r="F405" s="6" cm="1">
        <f t="array" ref="F405">_xlfn.XLOOKUP(1,(Лист2!A$2:A$505=A405)*(Лист2!B$2:B$505=B405),Лист2!D$2:D$505)</f>
        <v>965</v>
      </c>
      <c r="G405" s="6" cm="1">
        <f t="array" ref="G405">_xlfn.XLOOKUP(1,(Лист2!A$2:A$505=A405)*(Лист2!B$2:B$505=B405),Лист2!E$2:E$505)</f>
        <v>861</v>
      </c>
      <c r="H405">
        <f t="shared" si="12"/>
        <v>145504.95</v>
      </c>
      <c r="I405">
        <f t="shared" si="13"/>
        <v>21</v>
      </c>
    </row>
    <row r="406" ht="14.25" customHeight="1" spans="1:9">
      <c r="A406" s="10">
        <v>43983</v>
      </c>
      <c r="B406" s="11" t="s">
        <v>12</v>
      </c>
      <c r="C406" s="11">
        <v>11416.5</v>
      </c>
      <c r="D406" s="11">
        <v>1007742</v>
      </c>
      <c r="E406" s="6" cm="1">
        <f t="array" ref="E406">_xlfn.XLOOKUP(1,(Лист2!A$2:A$505=A406)*(Лист2!B$2:B$505=B406),Лист2!C$2:C$505)</f>
        <v>10</v>
      </c>
      <c r="F406" s="6" cm="1">
        <f t="array" ref="F406">_xlfn.XLOOKUP(1,(Лист2!A$2:A$505=A406)*(Лист2!B$2:B$505=B406),Лист2!D$2:D$505)</f>
        <v>719</v>
      </c>
      <c r="G406" s="6" cm="1">
        <f t="array" ref="G406">_xlfn.XLOOKUP(1,(Лист2!A$2:A$505=A406)*(Лист2!B$2:B$505=B406),Лист2!E$2:E$505)</f>
        <v>627</v>
      </c>
      <c r="H406">
        <f t="shared" si="12"/>
        <v>100774.2</v>
      </c>
      <c r="I406">
        <f t="shared" si="13"/>
        <v>23</v>
      </c>
    </row>
    <row r="407" ht="14.25" customHeight="1" spans="1:9">
      <c r="A407" s="12">
        <v>43962</v>
      </c>
      <c r="B407" s="13" t="s">
        <v>12</v>
      </c>
      <c r="C407" s="13">
        <v>9007.5</v>
      </c>
      <c r="D407" s="13">
        <v>734335.5</v>
      </c>
      <c r="E407" s="6" cm="1">
        <f t="array" ref="E407">_xlfn.XLOOKUP(1,(Лист2!A$2:A$505=A407)*(Лист2!B$2:B$505=B407),Лист2!C$2:C$505)</f>
        <v>10</v>
      </c>
      <c r="F407" s="6" cm="1">
        <f t="array" ref="F407">_xlfn.XLOOKUP(1,(Лист2!A$2:A$505=A407)*(Лист2!B$2:B$505=B407),Лист2!D$2:D$505)</f>
        <v>494</v>
      </c>
      <c r="G407" s="6" cm="1">
        <f t="array" ref="G407">_xlfn.XLOOKUP(1,(Лист2!A$2:A$505=A407)*(Лист2!B$2:B$505=B407),Лист2!E$2:E$505)</f>
        <v>421</v>
      </c>
      <c r="H407">
        <f t="shared" si="12"/>
        <v>73433.55</v>
      </c>
      <c r="I407">
        <f t="shared" si="13"/>
        <v>20</v>
      </c>
    </row>
    <row r="408" ht="14.25" customHeight="1" spans="1:9">
      <c r="A408" s="10">
        <v>43980</v>
      </c>
      <c r="B408" s="11" t="s">
        <v>11</v>
      </c>
      <c r="C408" s="11">
        <v>87552</v>
      </c>
      <c r="D408" s="11">
        <v>7387116</v>
      </c>
      <c r="E408" s="6" cm="1">
        <f t="array" ref="E408">_xlfn.XLOOKUP(1,(Лист2!A$2:A$505=A408)*(Лист2!B$2:B$505=B408),Лист2!C$2:C$505)</f>
        <v>31</v>
      </c>
      <c r="F408" s="6" cm="1">
        <f t="array" ref="F408">_xlfn.XLOOKUP(1,(Лист2!A$2:A$505=A408)*(Лист2!B$2:B$505=B408),Лист2!D$2:D$505)</f>
        <v>5751</v>
      </c>
      <c r="G408" s="6" cm="1">
        <f t="array" ref="G408">_xlfn.XLOOKUP(1,(Лист2!A$2:A$505=A408)*(Лист2!B$2:B$505=B408),Лист2!E$2:E$505)</f>
        <v>5319</v>
      </c>
      <c r="H408">
        <f t="shared" si="12"/>
        <v>238294.064516129</v>
      </c>
      <c r="I408">
        <f t="shared" si="13"/>
        <v>22</v>
      </c>
    </row>
    <row r="409" ht="14.25" customHeight="1" spans="1:9">
      <c r="A409" s="12">
        <v>43969</v>
      </c>
      <c r="B409" s="13" t="s">
        <v>12</v>
      </c>
      <c r="C409" s="13">
        <v>11680.5</v>
      </c>
      <c r="D409" s="13">
        <v>936427.5</v>
      </c>
      <c r="E409" s="6" cm="1">
        <f t="array" ref="E409">_xlfn.XLOOKUP(1,(Лист2!A$2:A$505=A409)*(Лист2!B$2:B$505=B409),Лист2!C$2:C$505)</f>
        <v>10</v>
      </c>
      <c r="F409" s="6" cm="1">
        <f t="array" ref="F409">_xlfn.XLOOKUP(1,(Лист2!A$2:A$505=A409)*(Лист2!B$2:B$505=B409),Лист2!D$2:D$505)</f>
        <v>645</v>
      </c>
      <c r="G409" s="6" cm="1">
        <f t="array" ref="G409">_xlfn.XLOOKUP(1,(Лист2!A$2:A$505=A409)*(Лист2!B$2:B$505=B409),Лист2!E$2:E$505)</f>
        <v>565</v>
      </c>
      <c r="H409">
        <f t="shared" si="12"/>
        <v>93642.75</v>
      </c>
      <c r="I409">
        <f t="shared" si="13"/>
        <v>21</v>
      </c>
    </row>
    <row r="410" ht="14.25" customHeight="1" spans="1:9">
      <c r="A410" s="10">
        <v>43965</v>
      </c>
      <c r="B410" s="11" t="s">
        <v>12</v>
      </c>
      <c r="C410" s="11">
        <v>12037.5</v>
      </c>
      <c r="D410" s="11">
        <v>981564</v>
      </c>
      <c r="E410" s="6" cm="1">
        <f t="array" ref="E410">_xlfn.XLOOKUP(1,(Лист2!A$2:A$505=A410)*(Лист2!B$2:B$505=B410),Лист2!C$2:C$505)</f>
        <v>10</v>
      </c>
      <c r="F410" s="6" cm="1">
        <f t="array" ref="F410">_xlfn.XLOOKUP(1,(Лист2!A$2:A$505=A410)*(Лист2!B$2:B$505=B410),Лист2!D$2:D$505)</f>
        <v>627</v>
      </c>
      <c r="G410" s="6" cm="1">
        <f t="array" ref="G410">_xlfn.XLOOKUP(1,(Лист2!A$2:A$505=A410)*(Лист2!B$2:B$505=B410),Лист2!E$2:E$505)</f>
        <v>545</v>
      </c>
      <c r="H410">
        <f t="shared" si="12"/>
        <v>98156.4</v>
      </c>
      <c r="I410">
        <f t="shared" si="13"/>
        <v>20</v>
      </c>
    </row>
    <row r="411" ht="14.25" customHeight="1" spans="1:9">
      <c r="A411" s="12">
        <v>43966</v>
      </c>
      <c r="B411" s="13" t="s">
        <v>12</v>
      </c>
      <c r="C411" s="13">
        <v>14421</v>
      </c>
      <c r="D411" s="13">
        <v>1150579.5</v>
      </c>
      <c r="E411" s="6" cm="1">
        <f t="array" ref="E411">_xlfn.XLOOKUP(1,(Лист2!A$2:A$505=A411)*(Лист2!B$2:B$505=B411),Лист2!C$2:C$505)</f>
        <v>10</v>
      </c>
      <c r="F411" s="6" cm="1">
        <f t="array" ref="F411">_xlfn.XLOOKUP(1,(Лист2!A$2:A$505=A411)*(Лист2!B$2:B$505=B411),Лист2!D$2:D$505)</f>
        <v>743</v>
      </c>
      <c r="G411" s="6" cm="1">
        <f t="array" ref="G411">_xlfn.XLOOKUP(1,(Лист2!A$2:A$505=A411)*(Лист2!B$2:B$505=B411),Лист2!E$2:E$505)</f>
        <v>652</v>
      </c>
      <c r="H411">
        <f t="shared" si="12"/>
        <v>115057.95</v>
      </c>
      <c r="I411">
        <f t="shared" si="13"/>
        <v>20</v>
      </c>
    </row>
    <row r="412" ht="14.25" customHeight="1" spans="1:9">
      <c r="A412" s="10">
        <v>43980</v>
      </c>
      <c r="B412" s="11" t="s">
        <v>12</v>
      </c>
      <c r="C412" s="11">
        <v>14823</v>
      </c>
      <c r="D412" s="11">
        <v>1273464</v>
      </c>
      <c r="E412" s="6" cm="1">
        <f t="array" ref="E412">_xlfn.XLOOKUP(1,(Лист2!A$2:A$505=A412)*(Лист2!B$2:B$505=B412),Лист2!C$2:C$505)</f>
        <v>10</v>
      </c>
      <c r="F412" s="6" cm="1">
        <f t="array" ref="F412">_xlfn.XLOOKUP(1,(Лист2!A$2:A$505=A412)*(Лист2!B$2:B$505=B412),Лист2!D$2:D$505)</f>
        <v>873</v>
      </c>
      <c r="G412" s="6" cm="1">
        <f t="array" ref="G412">_xlfn.XLOOKUP(1,(Лист2!A$2:A$505=A412)*(Лист2!B$2:B$505=B412),Лист2!E$2:E$505)</f>
        <v>770</v>
      </c>
      <c r="H412">
        <f t="shared" si="12"/>
        <v>127346.4</v>
      </c>
      <c r="I412">
        <f t="shared" si="13"/>
        <v>22</v>
      </c>
    </row>
    <row r="413" ht="14.25" customHeight="1" spans="1:9">
      <c r="A413" s="12">
        <v>43978</v>
      </c>
      <c r="B413" s="13" t="s">
        <v>13</v>
      </c>
      <c r="C413" s="13">
        <v>31257</v>
      </c>
      <c r="D413" s="13">
        <v>2924133</v>
      </c>
      <c r="E413" s="6" cm="1">
        <f t="array" ref="E413">_xlfn.XLOOKUP(1,(Лист2!A$2:A$505=A413)*(Лист2!B$2:B$505=B413),Лист2!C$2:C$505)</f>
        <v>20</v>
      </c>
      <c r="F413" s="6" cm="1">
        <f t="array" ref="F413">_xlfn.XLOOKUP(1,(Лист2!A$2:A$505=A413)*(Лист2!B$2:B$505=B413),Лист2!D$2:D$505)</f>
        <v>2079</v>
      </c>
      <c r="G413" s="6" cm="1">
        <f t="array" ref="G413">_xlfn.XLOOKUP(1,(Лист2!A$2:A$505=A413)*(Лист2!B$2:B$505=B413),Лист2!E$2:E$505)</f>
        <v>1856</v>
      </c>
      <c r="H413">
        <f t="shared" si="12"/>
        <v>146206.65</v>
      </c>
      <c r="I413">
        <f t="shared" si="13"/>
        <v>22</v>
      </c>
    </row>
    <row r="414" ht="14.25" customHeight="1" spans="1:9">
      <c r="A414" s="10">
        <v>43973</v>
      </c>
      <c r="B414" s="11" t="s">
        <v>13</v>
      </c>
      <c r="C414" s="11">
        <v>38074.5</v>
      </c>
      <c r="D414" s="11">
        <v>3414180</v>
      </c>
      <c r="E414" s="6" cm="1">
        <f t="array" ref="E414">_xlfn.XLOOKUP(1,(Лист2!A$2:A$505=A414)*(Лист2!B$2:B$505=B414),Лист2!C$2:C$505)</f>
        <v>20</v>
      </c>
      <c r="F414" s="6" cm="1">
        <f t="array" ref="F414">_xlfn.XLOOKUP(1,(Лист2!A$2:A$505=A414)*(Лист2!B$2:B$505=B414),Лист2!D$2:D$505)</f>
        <v>2306</v>
      </c>
      <c r="G414" s="6" cm="1">
        <f t="array" ref="G414">_xlfn.XLOOKUP(1,(Лист2!A$2:A$505=A414)*(Лист2!B$2:B$505=B414),Лист2!E$2:E$505)</f>
        <v>2054</v>
      </c>
      <c r="H414">
        <f t="shared" si="12"/>
        <v>170709</v>
      </c>
      <c r="I414">
        <f t="shared" si="13"/>
        <v>21</v>
      </c>
    </row>
    <row r="415" ht="14.25" customHeight="1" spans="1:9">
      <c r="A415" s="12">
        <v>43983</v>
      </c>
      <c r="B415" s="13" t="s">
        <v>13</v>
      </c>
      <c r="C415" s="13">
        <v>32170.5</v>
      </c>
      <c r="D415" s="13">
        <v>3013512</v>
      </c>
      <c r="E415" s="6" cm="1">
        <f t="array" ref="E415">_xlfn.XLOOKUP(1,(Лист2!A$2:A$505=A415)*(Лист2!B$2:B$505=B415),Лист2!C$2:C$505)</f>
        <v>20</v>
      </c>
      <c r="F415" s="6" cm="1">
        <f t="array" ref="F415">_xlfn.XLOOKUP(1,(Лист2!A$2:A$505=A415)*(Лист2!B$2:B$505=B415),Лист2!D$2:D$505)</f>
        <v>2136</v>
      </c>
      <c r="G415" s="6" cm="1">
        <f t="array" ref="G415">_xlfn.XLOOKUP(1,(Лист2!A$2:A$505=A415)*(Лист2!B$2:B$505=B415),Лист2!E$2:E$505)</f>
        <v>1899</v>
      </c>
      <c r="H415">
        <f t="shared" si="12"/>
        <v>150675.6</v>
      </c>
      <c r="I415">
        <f t="shared" si="13"/>
        <v>23</v>
      </c>
    </row>
    <row r="416" ht="14.25" customHeight="1" spans="1:9">
      <c r="A416" s="10">
        <v>43962</v>
      </c>
      <c r="B416" s="11" t="s">
        <v>13</v>
      </c>
      <c r="C416" s="11">
        <v>42397.5</v>
      </c>
      <c r="D416" s="11">
        <v>3911979</v>
      </c>
      <c r="E416" s="6" cm="1">
        <f t="array" ref="E416">_xlfn.XLOOKUP(1,(Лист2!A$2:A$505=A416)*(Лист2!B$2:B$505=B416),Лист2!C$2:C$505)</f>
        <v>19</v>
      </c>
      <c r="F416" s="6" cm="1">
        <f t="array" ref="F416">_xlfn.XLOOKUP(1,(Лист2!A$2:A$505=A416)*(Лист2!B$2:B$505=B416),Лист2!D$2:D$505)</f>
        <v>2530</v>
      </c>
      <c r="G416" s="6" cm="1">
        <f t="array" ref="G416">_xlfn.XLOOKUP(1,(Лист2!A$2:A$505=A416)*(Лист2!B$2:B$505=B416),Лист2!E$2:E$505)</f>
        <v>2270</v>
      </c>
      <c r="H416">
        <f t="shared" si="12"/>
        <v>205893.631578947</v>
      </c>
      <c r="I416">
        <f t="shared" si="13"/>
        <v>20</v>
      </c>
    </row>
    <row r="417" ht="14.25" customHeight="1" spans="1:9">
      <c r="A417" s="12">
        <v>43969</v>
      </c>
      <c r="B417" s="13" t="s">
        <v>13</v>
      </c>
      <c r="C417" s="13">
        <v>28668</v>
      </c>
      <c r="D417" s="13">
        <v>2588148</v>
      </c>
      <c r="E417" s="6" cm="1">
        <f t="array" ref="E417">_xlfn.XLOOKUP(1,(Лист2!A$2:A$505=A417)*(Лист2!B$2:B$505=B417),Лист2!C$2:C$505)</f>
        <v>19</v>
      </c>
      <c r="F417" s="6" cm="1">
        <f t="array" ref="F417">_xlfn.XLOOKUP(1,(Лист2!A$2:A$505=A417)*(Лист2!B$2:B$505=B417),Лист2!D$2:D$505)</f>
        <v>1858</v>
      </c>
      <c r="G417" s="6" cm="1">
        <f t="array" ref="G417">_xlfn.XLOOKUP(1,(Лист2!A$2:A$505=A417)*(Лист2!B$2:B$505=B417),Лист2!E$2:E$505)</f>
        <v>1648</v>
      </c>
      <c r="H417">
        <f t="shared" si="12"/>
        <v>136218.315789474</v>
      </c>
      <c r="I417">
        <f t="shared" si="13"/>
        <v>21</v>
      </c>
    </row>
    <row r="418" ht="14.25" customHeight="1" spans="1:9">
      <c r="A418" s="10">
        <v>43965</v>
      </c>
      <c r="B418" s="11" t="s">
        <v>13</v>
      </c>
      <c r="C418" s="11">
        <v>27411</v>
      </c>
      <c r="D418" s="11">
        <v>2441520</v>
      </c>
      <c r="E418" s="6" cm="1">
        <f t="array" ref="E418">_xlfn.XLOOKUP(1,(Лист2!A$2:A$505=A418)*(Лист2!B$2:B$505=B418),Лист2!C$2:C$505)</f>
        <v>19</v>
      </c>
      <c r="F418" s="6" cm="1">
        <f t="array" ref="F418">_xlfn.XLOOKUP(1,(Лист2!A$2:A$505=A418)*(Лист2!B$2:B$505=B418),Лист2!D$2:D$505)</f>
        <v>1675</v>
      </c>
      <c r="G418" s="6" cm="1">
        <f t="array" ref="G418">_xlfn.XLOOKUP(1,(Лист2!A$2:A$505=A418)*(Лист2!B$2:B$505=B418),Лист2!E$2:E$505)</f>
        <v>1475</v>
      </c>
      <c r="H418">
        <f t="shared" si="12"/>
        <v>128501.052631579</v>
      </c>
      <c r="I418">
        <f t="shared" si="13"/>
        <v>20</v>
      </c>
    </row>
    <row r="419" ht="14.25" customHeight="1" spans="1:9">
      <c r="A419" s="12">
        <v>43966</v>
      </c>
      <c r="B419" s="13" t="s">
        <v>13</v>
      </c>
      <c r="C419" s="13">
        <v>32854.5</v>
      </c>
      <c r="D419" s="13">
        <v>2949078</v>
      </c>
      <c r="E419" s="6" cm="1">
        <f t="array" ref="E419">_xlfn.XLOOKUP(1,(Лист2!A$2:A$505=A419)*(Лист2!B$2:B$505=B419),Лист2!C$2:C$505)</f>
        <v>19</v>
      </c>
      <c r="F419" s="6" cm="1">
        <f t="array" ref="F419">_xlfn.XLOOKUP(1,(Лист2!A$2:A$505=A419)*(Лист2!B$2:B$505=B419),Лист2!D$2:D$505)</f>
        <v>1940</v>
      </c>
      <c r="G419" s="6" cm="1">
        <f t="array" ref="G419">_xlfn.XLOOKUP(1,(Лист2!A$2:A$505=A419)*(Лист2!B$2:B$505=B419),Лист2!E$2:E$505)</f>
        <v>1715</v>
      </c>
      <c r="H419">
        <f t="shared" si="12"/>
        <v>155214.631578947</v>
      </c>
      <c r="I419">
        <f t="shared" si="13"/>
        <v>20</v>
      </c>
    </row>
    <row r="420" ht="14.25" customHeight="1" spans="1:9">
      <c r="A420" s="10">
        <v>43980</v>
      </c>
      <c r="B420" s="11" t="s">
        <v>13</v>
      </c>
      <c r="C420" s="11">
        <v>35346</v>
      </c>
      <c r="D420" s="11">
        <v>3258054</v>
      </c>
      <c r="E420" s="6" cm="1">
        <f t="array" ref="E420">_xlfn.XLOOKUP(1,(Лист2!A$2:A$505=A420)*(Лист2!B$2:B$505=B420),Лист2!C$2:C$505)</f>
        <v>20</v>
      </c>
      <c r="F420" s="6" cm="1">
        <f t="array" ref="F420">_xlfn.XLOOKUP(1,(Лист2!A$2:A$505=A420)*(Лист2!B$2:B$505=B420),Лист2!D$2:D$505)</f>
        <v>2249</v>
      </c>
      <c r="G420" s="6" cm="1">
        <f t="array" ref="G420">_xlfn.XLOOKUP(1,(Лист2!A$2:A$505=A420)*(Лист2!B$2:B$505=B420),Лист2!E$2:E$505)</f>
        <v>2000</v>
      </c>
      <c r="H420">
        <f t="shared" si="12"/>
        <v>162902.7</v>
      </c>
      <c r="I420">
        <f t="shared" si="13"/>
        <v>22</v>
      </c>
    </row>
    <row r="421" ht="14.25" customHeight="1" spans="1:9">
      <c r="A421" s="12">
        <v>43978</v>
      </c>
      <c r="B421" s="13" t="s">
        <v>14</v>
      </c>
      <c r="C421" s="13">
        <v>286558.5</v>
      </c>
      <c r="D421" s="13">
        <v>29256993</v>
      </c>
      <c r="E421" s="6" cm="1">
        <f t="array" ref="E421">_xlfn.XLOOKUP(1,(Лист2!A$2:A$505=A421)*(Лист2!B$2:B$505=B421),Лист2!C$2:C$505)</f>
        <v>129</v>
      </c>
      <c r="F421" s="6" cm="1">
        <f t="array" ref="F421">_xlfn.XLOOKUP(1,(Лист2!A$2:A$505=A421)*(Лист2!B$2:B$505=B421),Лист2!D$2:D$505)</f>
        <v>17115</v>
      </c>
      <c r="G421" s="6" cm="1">
        <f t="array" ref="G421">_xlfn.XLOOKUP(1,(Лист2!A$2:A$505=A421)*(Лист2!B$2:B$505=B421),Лист2!E$2:E$505)</f>
        <v>15962</v>
      </c>
      <c r="H421">
        <f t="shared" si="12"/>
        <v>226798.395348837</v>
      </c>
      <c r="I421">
        <f t="shared" si="13"/>
        <v>22</v>
      </c>
    </row>
    <row r="422" ht="14.25" customHeight="1" spans="1:9">
      <c r="A422" s="10">
        <v>43973</v>
      </c>
      <c r="B422" s="11" t="s">
        <v>14</v>
      </c>
      <c r="C422" s="11">
        <v>304092</v>
      </c>
      <c r="D422" s="11">
        <v>29465769</v>
      </c>
      <c r="E422" s="6" cm="1">
        <f t="array" ref="E422">_xlfn.XLOOKUP(1,(Лист2!A$2:A$505=A422)*(Лист2!B$2:B$505=B422),Лист2!C$2:C$505)</f>
        <v>129</v>
      </c>
      <c r="F422" s="6" cm="1">
        <f t="array" ref="F422">_xlfn.XLOOKUP(1,(Лист2!A$2:A$505=A422)*(Лист2!B$2:B$505=B422),Лист2!D$2:D$505)</f>
        <v>17088</v>
      </c>
      <c r="G422" s="6" cm="1">
        <f t="array" ref="G422">_xlfn.XLOOKUP(1,(Лист2!A$2:A$505=A422)*(Лист2!B$2:B$505=B422),Лист2!E$2:E$505)</f>
        <v>15804</v>
      </c>
      <c r="H422">
        <f t="shared" si="12"/>
        <v>228416.813953488</v>
      </c>
      <c r="I422">
        <f t="shared" si="13"/>
        <v>21</v>
      </c>
    </row>
    <row r="423" ht="14.25" customHeight="1" spans="1:9">
      <c r="A423" s="12">
        <v>43983</v>
      </c>
      <c r="B423" s="13" t="s">
        <v>14</v>
      </c>
      <c r="C423" s="13">
        <v>272926.5</v>
      </c>
      <c r="D423" s="13">
        <v>27770092.5</v>
      </c>
      <c r="E423" s="6" cm="1">
        <f t="array" ref="E423">_xlfn.XLOOKUP(1,(Лист2!A$2:A$505=A423)*(Лист2!B$2:B$505=B423),Лист2!C$2:C$505)</f>
        <v>128</v>
      </c>
      <c r="F423" s="6" cm="1">
        <f t="array" ref="F423">_xlfn.XLOOKUP(1,(Лист2!A$2:A$505=A423)*(Лист2!B$2:B$505=B423),Лист2!D$2:D$505)</f>
        <v>16285</v>
      </c>
      <c r="G423" s="6" cm="1">
        <f t="array" ref="G423">_xlfn.XLOOKUP(1,(Лист2!A$2:A$505=A423)*(Лист2!B$2:B$505=B423),Лист2!E$2:E$505)</f>
        <v>15130</v>
      </c>
      <c r="H423">
        <f t="shared" si="12"/>
        <v>216953.84765625</v>
      </c>
      <c r="I423">
        <f t="shared" si="13"/>
        <v>23</v>
      </c>
    </row>
    <row r="424" ht="14.25" customHeight="1" spans="1:9">
      <c r="A424" s="10">
        <v>43962</v>
      </c>
      <c r="B424" s="11" t="s">
        <v>14</v>
      </c>
      <c r="C424" s="11">
        <v>237099</v>
      </c>
      <c r="D424" s="11">
        <v>24628233.22395</v>
      </c>
      <c r="E424" s="6" cm="1">
        <f t="array" ref="E424">_xlfn.XLOOKUP(1,(Лист2!A$2:A$505=A424)*(Лист2!B$2:B$505=B424),Лист2!C$2:C$505)</f>
        <v>129</v>
      </c>
      <c r="F424" s="6" cm="1">
        <f t="array" ref="F424">_xlfn.XLOOKUP(1,(Лист2!A$2:A$505=A424)*(Лист2!B$2:B$505=B424),Лист2!D$2:D$505)</f>
        <v>14043</v>
      </c>
      <c r="G424" s="6" cm="1">
        <f t="array" ref="G424">_xlfn.XLOOKUP(1,(Лист2!A$2:A$505=A424)*(Лист2!B$2:B$505=B424),Лист2!E$2:E$505)</f>
        <v>13167</v>
      </c>
      <c r="H424">
        <f t="shared" si="12"/>
        <v>190916.536619767</v>
      </c>
      <c r="I424">
        <f t="shared" si="13"/>
        <v>20</v>
      </c>
    </row>
    <row r="425" ht="14.25" customHeight="1" spans="1:9">
      <c r="A425" s="12">
        <v>43969</v>
      </c>
      <c r="B425" s="13" t="s">
        <v>14</v>
      </c>
      <c r="C425" s="13">
        <v>273900</v>
      </c>
      <c r="D425" s="13">
        <v>27535284.1476</v>
      </c>
      <c r="E425" s="6" cm="1">
        <f t="array" ref="E425">_xlfn.XLOOKUP(1,(Лист2!A$2:A$505=A425)*(Лист2!B$2:B$505=B425),Лист2!C$2:C$505)</f>
        <v>129</v>
      </c>
      <c r="F425" s="6" cm="1">
        <f t="array" ref="F425">_xlfn.XLOOKUP(1,(Лист2!A$2:A$505=A425)*(Лист2!B$2:B$505=B425),Лист2!D$2:D$505)</f>
        <v>16110</v>
      </c>
      <c r="G425" s="6" cm="1">
        <f t="array" ref="G425">_xlfn.XLOOKUP(1,(Лист2!A$2:A$505=A425)*(Лист2!B$2:B$505=B425),Лист2!E$2:E$505)</f>
        <v>14992</v>
      </c>
      <c r="H425">
        <f t="shared" si="12"/>
        <v>213451.815097674</v>
      </c>
      <c r="I425">
        <f t="shared" si="13"/>
        <v>21</v>
      </c>
    </row>
    <row r="426" ht="14.25" customHeight="1" spans="1:9">
      <c r="A426" s="10">
        <v>43965</v>
      </c>
      <c r="B426" s="11" t="s">
        <v>14</v>
      </c>
      <c r="C426" s="11">
        <v>274059</v>
      </c>
      <c r="D426" s="11">
        <v>28181292</v>
      </c>
      <c r="E426" s="6" cm="1">
        <f t="array" ref="E426">_xlfn.XLOOKUP(1,(Лист2!A$2:A$505=A426)*(Лист2!B$2:B$505=B426),Лист2!C$2:C$505)</f>
        <v>129</v>
      </c>
      <c r="F426" s="6" cm="1">
        <f t="array" ref="F426">_xlfn.XLOOKUP(1,(Лист2!A$2:A$505=A426)*(Лист2!B$2:B$505=B426),Лист2!D$2:D$505)</f>
        <v>15804</v>
      </c>
      <c r="G426" s="6" cm="1">
        <f t="array" ref="G426">_xlfn.XLOOKUP(1,(Лист2!A$2:A$505=A426)*(Лист2!B$2:B$505=B426),Лист2!E$2:E$505)</f>
        <v>14738</v>
      </c>
      <c r="H426">
        <f t="shared" si="12"/>
        <v>218459.627906977</v>
      </c>
      <c r="I426">
        <f t="shared" si="13"/>
        <v>20</v>
      </c>
    </row>
    <row r="427" ht="14.25" customHeight="1" spans="1:9">
      <c r="A427" s="12">
        <v>43966</v>
      </c>
      <c r="B427" s="13" t="s">
        <v>14</v>
      </c>
      <c r="C427" s="13">
        <v>318816</v>
      </c>
      <c r="D427" s="13">
        <v>32354331</v>
      </c>
      <c r="E427" s="6" cm="1">
        <f t="array" ref="E427">_xlfn.XLOOKUP(1,(Лист2!A$2:A$505=A427)*(Лист2!B$2:B$505=B427),Лист2!C$2:C$505)</f>
        <v>129</v>
      </c>
      <c r="F427" s="6" cm="1">
        <f t="array" ref="F427">_xlfn.XLOOKUP(1,(Лист2!A$2:A$505=A427)*(Лист2!B$2:B$505=B427),Лист2!D$2:D$505)</f>
        <v>17808</v>
      </c>
      <c r="G427" s="6" cm="1">
        <f t="array" ref="G427">_xlfn.XLOOKUP(1,(Лист2!A$2:A$505=A427)*(Лист2!B$2:B$505=B427),Лист2!E$2:E$505)</f>
        <v>16486</v>
      </c>
      <c r="H427">
        <f t="shared" si="12"/>
        <v>250808.76744186</v>
      </c>
      <c r="I427">
        <f t="shared" si="13"/>
        <v>20</v>
      </c>
    </row>
    <row r="428" ht="14.25" customHeight="1" spans="1:9">
      <c r="A428" s="10">
        <v>43978</v>
      </c>
      <c r="B428" s="11" t="s">
        <v>15</v>
      </c>
      <c r="C428" s="11">
        <v>370012.5</v>
      </c>
      <c r="D428" s="11">
        <v>39034861.5</v>
      </c>
      <c r="E428" s="6" cm="1">
        <f t="array" ref="E428">_xlfn.XLOOKUP(1,(Лист2!A$2:A$505=A428)*(Лист2!B$2:B$505=B428),Лист2!C$2:C$505)</f>
        <v>124</v>
      </c>
      <c r="F428" s="6" cm="1">
        <f t="array" ref="F428">_xlfn.XLOOKUP(1,(Лист2!A$2:A$505=A428)*(Лист2!B$2:B$505=B428),Лист2!D$2:D$505)</f>
        <v>21384</v>
      </c>
      <c r="G428" s="6" cm="1">
        <f t="array" ref="G428">_xlfn.XLOOKUP(1,(Лист2!A$2:A$505=A428)*(Лист2!B$2:B$505=B428),Лист2!E$2:E$505)</f>
        <v>19897</v>
      </c>
      <c r="H428">
        <f t="shared" si="12"/>
        <v>314797.27016129</v>
      </c>
      <c r="I428">
        <f t="shared" si="13"/>
        <v>22</v>
      </c>
    </row>
    <row r="429" ht="14.25" customHeight="1" spans="1:9">
      <c r="A429" s="12">
        <v>43973</v>
      </c>
      <c r="B429" s="13" t="s">
        <v>15</v>
      </c>
      <c r="C429" s="13">
        <v>393018</v>
      </c>
      <c r="D429" s="13">
        <v>39498373.5</v>
      </c>
      <c r="E429" s="6" cm="1">
        <f t="array" ref="E429">_xlfn.XLOOKUP(1,(Лист2!A$2:A$505=A429)*(Лист2!B$2:B$505=B429),Лист2!C$2:C$505)</f>
        <v>125</v>
      </c>
      <c r="F429" s="6" cm="1">
        <f t="array" ref="F429">_xlfn.XLOOKUP(1,(Лист2!A$2:A$505=A429)*(Лист2!B$2:B$505=B429),Лист2!D$2:D$505)</f>
        <v>21427</v>
      </c>
      <c r="G429" s="6" cm="1">
        <f t="array" ref="G429">_xlfn.XLOOKUP(1,(Лист2!A$2:A$505=A429)*(Лист2!B$2:B$505=B429),Лист2!E$2:E$505)</f>
        <v>19799</v>
      </c>
      <c r="H429">
        <f t="shared" si="12"/>
        <v>315986.988</v>
      </c>
      <c r="I429">
        <f t="shared" si="13"/>
        <v>21</v>
      </c>
    </row>
    <row r="430" ht="14.25" customHeight="1" spans="1:9">
      <c r="A430" s="10">
        <v>43983</v>
      </c>
      <c r="B430" s="11" t="s">
        <v>15</v>
      </c>
      <c r="C430" s="11">
        <v>349699.5</v>
      </c>
      <c r="D430" s="11">
        <v>37257840.18135</v>
      </c>
      <c r="E430" s="6" cm="1">
        <f t="array" ref="E430">_xlfn.XLOOKUP(1,(Лист2!A$2:A$505=A430)*(Лист2!B$2:B$505=B430),Лист2!C$2:C$505)</f>
        <v>123</v>
      </c>
      <c r="F430" s="6" cm="1">
        <f t="array" ref="F430">_xlfn.XLOOKUP(1,(Лист2!A$2:A$505=A430)*(Лист2!B$2:B$505=B430),Лист2!D$2:D$505)</f>
        <v>20325</v>
      </c>
      <c r="G430" s="6" cm="1">
        <f t="array" ref="G430">_xlfn.XLOOKUP(1,(Лист2!A$2:A$505=A430)*(Лист2!B$2:B$505=B430),Лист2!E$2:E$505)</f>
        <v>18935</v>
      </c>
      <c r="H430">
        <f t="shared" si="12"/>
        <v>302909.269767073</v>
      </c>
      <c r="I430">
        <f t="shared" si="13"/>
        <v>23</v>
      </c>
    </row>
    <row r="431" ht="14.25" customHeight="1" spans="1:9">
      <c r="A431" s="12">
        <v>43962</v>
      </c>
      <c r="B431" s="13" t="s">
        <v>15</v>
      </c>
      <c r="C431" s="13">
        <v>318565.5</v>
      </c>
      <c r="D431" s="13">
        <v>33781581</v>
      </c>
      <c r="E431" s="6" cm="1">
        <f t="array" ref="E431">_xlfn.XLOOKUP(1,(Лист2!A$2:A$505=A431)*(Лист2!B$2:B$505=B431),Лист2!C$2:C$505)</f>
        <v>125</v>
      </c>
      <c r="F431" s="6" cm="1">
        <f t="array" ref="F431">_xlfn.XLOOKUP(1,(Лист2!A$2:A$505=A431)*(Лист2!B$2:B$505=B431),Лист2!D$2:D$505)</f>
        <v>18066</v>
      </c>
      <c r="G431" s="6" cm="1">
        <f t="array" ref="G431">_xlfn.XLOOKUP(1,(Лист2!A$2:A$505=A431)*(Лист2!B$2:B$505=B431),Лист2!E$2:E$505)</f>
        <v>16883</v>
      </c>
      <c r="H431">
        <f t="shared" si="12"/>
        <v>270252.648</v>
      </c>
      <c r="I431">
        <f t="shared" si="13"/>
        <v>20</v>
      </c>
    </row>
    <row r="432" ht="14.25" customHeight="1" spans="1:9">
      <c r="A432" s="10">
        <v>43980</v>
      </c>
      <c r="B432" s="11" t="s">
        <v>14</v>
      </c>
      <c r="C432" s="11">
        <v>422965.5</v>
      </c>
      <c r="D432" s="11">
        <v>41767140.105</v>
      </c>
      <c r="E432" s="6" cm="1">
        <f t="array" ref="E432">_xlfn.XLOOKUP(1,(Лист2!A$2:A$505=A432)*(Лист2!B$2:B$505=B432),Лист2!C$2:C$505)</f>
        <v>129</v>
      </c>
      <c r="F432" s="6" cm="1">
        <f t="array" ref="F432">_xlfn.XLOOKUP(1,(Лист2!A$2:A$505=A432)*(Лист2!B$2:B$505=B432),Лист2!D$2:D$505)</f>
        <v>22403</v>
      </c>
      <c r="G432" s="6" cm="1">
        <f t="array" ref="G432">_xlfn.XLOOKUP(1,(Лист2!A$2:A$505=A432)*(Лист2!B$2:B$505=B432),Лист2!E$2:E$505)</f>
        <v>20676</v>
      </c>
      <c r="H432">
        <f t="shared" si="12"/>
        <v>323776.279883721</v>
      </c>
      <c r="I432">
        <f t="shared" si="13"/>
        <v>22</v>
      </c>
    </row>
    <row r="433" ht="14.25" customHeight="1" spans="1:9">
      <c r="A433" s="12">
        <v>43969</v>
      </c>
      <c r="B433" s="13" t="s">
        <v>15</v>
      </c>
      <c r="C433" s="13">
        <v>355081.5</v>
      </c>
      <c r="D433" s="13">
        <v>36876888</v>
      </c>
      <c r="E433" s="6" cm="1">
        <f t="array" ref="E433">_xlfn.XLOOKUP(1,(Лист2!A$2:A$505=A433)*(Лист2!B$2:B$505=B433),Лист2!C$2:C$505)</f>
        <v>125</v>
      </c>
      <c r="F433" s="6" cm="1">
        <f t="array" ref="F433">_xlfn.XLOOKUP(1,(Лист2!A$2:A$505=A433)*(Лист2!B$2:B$505=B433),Лист2!D$2:D$505)</f>
        <v>20449</v>
      </c>
      <c r="G433" s="6" cm="1">
        <f t="array" ref="G433">_xlfn.XLOOKUP(1,(Лист2!A$2:A$505=A433)*(Лист2!B$2:B$505=B433),Лист2!E$2:E$505)</f>
        <v>19060</v>
      </c>
      <c r="H433">
        <f t="shared" si="12"/>
        <v>295015.104</v>
      </c>
      <c r="I433">
        <f t="shared" si="13"/>
        <v>21</v>
      </c>
    </row>
    <row r="434" ht="14.25" customHeight="1" spans="1:9">
      <c r="A434" s="10">
        <v>43965</v>
      </c>
      <c r="B434" s="11" t="s">
        <v>15</v>
      </c>
      <c r="C434" s="11">
        <v>358387.5</v>
      </c>
      <c r="D434" s="11">
        <v>37963150.5</v>
      </c>
      <c r="E434" s="6" cm="1">
        <f t="array" ref="E434">_xlfn.XLOOKUP(1,(Лист2!A$2:A$505=A434)*(Лист2!B$2:B$505=B434),Лист2!C$2:C$505)</f>
        <v>125</v>
      </c>
      <c r="F434" s="6" cm="1">
        <f t="array" ref="F434">_xlfn.XLOOKUP(1,(Лист2!A$2:A$505=A434)*(Лист2!B$2:B$505=B434),Лист2!D$2:D$505)</f>
        <v>20247</v>
      </c>
      <c r="G434" s="6" cm="1">
        <f t="array" ref="G434">_xlfn.XLOOKUP(1,(Лист2!A$2:A$505=A434)*(Лист2!B$2:B$505=B434),Лист2!E$2:E$505)</f>
        <v>18812</v>
      </c>
      <c r="H434">
        <f t="shared" si="12"/>
        <v>303705.204</v>
      </c>
      <c r="I434">
        <f t="shared" si="13"/>
        <v>20</v>
      </c>
    </row>
    <row r="435" ht="14.25" customHeight="1" spans="1:9">
      <c r="A435" s="12">
        <v>43966</v>
      </c>
      <c r="B435" s="13" t="s">
        <v>15</v>
      </c>
      <c r="C435" s="13">
        <v>403261.5</v>
      </c>
      <c r="D435" s="13">
        <v>42271377</v>
      </c>
      <c r="E435" s="6" cm="1">
        <f t="array" ref="E435">_xlfn.XLOOKUP(1,(Лист2!A$2:A$505=A435)*(Лист2!B$2:B$505=B435),Лист2!C$2:C$505)</f>
        <v>125</v>
      </c>
      <c r="F435" s="6" cm="1">
        <f t="array" ref="F435">_xlfn.XLOOKUP(1,(Лист2!A$2:A$505=A435)*(Лист2!B$2:B$505=B435),Лист2!D$2:D$505)</f>
        <v>21862</v>
      </c>
      <c r="G435" s="6" cm="1">
        <f t="array" ref="G435">_xlfn.XLOOKUP(1,(Лист2!A$2:A$505=A435)*(Лист2!B$2:B$505=B435),Лист2!E$2:E$505)</f>
        <v>20235</v>
      </c>
      <c r="H435">
        <f t="shared" si="12"/>
        <v>338171.016</v>
      </c>
      <c r="I435">
        <f t="shared" si="13"/>
        <v>20</v>
      </c>
    </row>
    <row r="436" ht="14.25" customHeight="1" spans="1:9">
      <c r="A436" s="10">
        <v>43978</v>
      </c>
      <c r="B436" s="11" t="s">
        <v>16</v>
      </c>
      <c r="C436" s="11">
        <v>69010.5</v>
      </c>
      <c r="D436" s="11">
        <v>5985894</v>
      </c>
      <c r="E436" s="6" cm="1">
        <f t="array" ref="E436">_xlfn.XLOOKUP(1,(Лист2!A$2:A$505=A436)*(Лист2!B$2:B$505=B436),Лист2!C$2:C$505)</f>
        <v>36</v>
      </c>
      <c r="F436" s="6" cm="1">
        <f t="array" ref="F436">_xlfn.XLOOKUP(1,(Лист2!A$2:A$505=A436)*(Лист2!B$2:B$505=B436),Лист2!D$2:D$505)</f>
        <v>4951</v>
      </c>
      <c r="G436" s="6" cm="1">
        <f t="array" ref="G436">_xlfn.XLOOKUP(1,(Лист2!A$2:A$505=A436)*(Лист2!B$2:B$505=B436),Лист2!E$2:E$505)</f>
        <v>4584</v>
      </c>
      <c r="H436">
        <f t="shared" si="12"/>
        <v>166274.833333333</v>
      </c>
      <c r="I436">
        <f t="shared" si="13"/>
        <v>22</v>
      </c>
    </row>
    <row r="437" ht="14.25" customHeight="1" spans="1:9">
      <c r="A437" s="12">
        <v>43973</v>
      </c>
      <c r="B437" s="13" t="s">
        <v>16</v>
      </c>
      <c r="C437" s="13">
        <v>75820.5</v>
      </c>
      <c r="D437" s="13">
        <v>5943489</v>
      </c>
      <c r="E437" s="6" cm="1">
        <f t="array" ref="E437">_xlfn.XLOOKUP(1,(Лист2!A$2:A$505=A437)*(Лист2!B$2:B$505=B437),Лист2!C$2:C$505)</f>
        <v>36</v>
      </c>
      <c r="F437" s="6" cm="1">
        <f t="array" ref="F437">_xlfn.XLOOKUP(1,(Лист2!A$2:A$505=A437)*(Лист2!B$2:B$505=B437),Лист2!D$2:D$505)</f>
        <v>4857</v>
      </c>
      <c r="G437" s="6" cm="1">
        <f t="array" ref="G437">_xlfn.XLOOKUP(1,(Лист2!A$2:A$505=A437)*(Лист2!B$2:B$505=B437),Лист2!E$2:E$505)</f>
        <v>4456</v>
      </c>
      <c r="H437">
        <f t="shared" si="12"/>
        <v>165096.916666667</v>
      </c>
      <c r="I437">
        <f t="shared" si="13"/>
        <v>21</v>
      </c>
    </row>
    <row r="438" ht="14.25" customHeight="1" spans="1:9">
      <c r="A438" s="10">
        <v>43983</v>
      </c>
      <c r="B438" s="11" t="s">
        <v>16</v>
      </c>
      <c r="C438" s="11">
        <v>64740</v>
      </c>
      <c r="D438" s="11">
        <v>5800290</v>
      </c>
      <c r="E438" s="6" cm="1">
        <f t="array" ref="E438">_xlfn.XLOOKUP(1,(Лист2!A$2:A$505=A438)*(Лист2!B$2:B$505=B438),Лист2!C$2:C$505)</f>
        <v>37</v>
      </c>
      <c r="F438" s="6" cm="1">
        <f t="array" ref="F438">_xlfn.XLOOKUP(1,(Лист2!A$2:A$505=A438)*(Лист2!B$2:B$505=B438),Лист2!D$2:D$505)</f>
        <v>4722</v>
      </c>
      <c r="G438" s="6" cm="1">
        <f t="array" ref="G438">_xlfn.XLOOKUP(1,(Лист2!A$2:A$505=A438)*(Лист2!B$2:B$505=B438),Лист2!E$2:E$505)</f>
        <v>4352</v>
      </c>
      <c r="H438">
        <f t="shared" si="12"/>
        <v>156764.594594595</v>
      </c>
      <c r="I438">
        <f t="shared" si="13"/>
        <v>23</v>
      </c>
    </row>
    <row r="439" ht="14.25" customHeight="1" spans="1:9">
      <c r="A439" s="12">
        <v>43962</v>
      </c>
      <c r="B439" s="13" t="s">
        <v>16</v>
      </c>
      <c r="C439" s="13">
        <v>59574</v>
      </c>
      <c r="D439" s="13">
        <v>5178169.5</v>
      </c>
      <c r="E439" s="6" cm="1">
        <f t="array" ref="E439">_xlfn.XLOOKUP(1,(Лист2!A$2:A$505=A439)*(Лист2!B$2:B$505=B439),Лист2!C$2:C$505)</f>
        <v>36</v>
      </c>
      <c r="F439" s="6" cm="1">
        <f t="array" ref="F439">_xlfn.XLOOKUP(1,(Лист2!A$2:A$505=A439)*(Лист2!B$2:B$505=B439),Лист2!D$2:D$505)</f>
        <v>4150</v>
      </c>
      <c r="G439" s="6" cm="1">
        <f t="array" ref="G439">_xlfn.XLOOKUP(1,(Лист2!A$2:A$505=A439)*(Лист2!B$2:B$505=B439),Лист2!E$2:E$505)</f>
        <v>3838</v>
      </c>
      <c r="H439">
        <f t="shared" si="12"/>
        <v>143838.041666667</v>
      </c>
      <c r="I439">
        <f t="shared" si="13"/>
        <v>20</v>
      </c>
    </row>
    <row r="440" ht="14.25" customHeight="1" spans="1:9">
      <c r="A440" s="10">
        <v>43980</v>
      </c>
      <c r="B440" s="11" t="s">
        <v>15</v>
      </c>
      <c r="C440" s="11">
        <v>524481</v>
      </c>
      <c r="D440" s="11">
        <v>54172029</v>
      </c>
      <c r="E440" s="6" cm="1">
        <f t="array" ref="E440">_xlfn.XLOOKUP(1,(Лист2!A$2:A$505=A440)*(Лист2!B$2:B$505=B440),Лист2!C$2:C$505)</f>
        <v>124</v>
      </c>
      <c r="F440" s="6" cm="1">
        <f t="array" ref="F440">_xlfn.XLOOKUP(1,(Лист2!A$2:A$505=A440)*(Лист2!B$2:B$505=B440),Лист2!D$2:D$505)</f>
        <v>25828</v>
      </c>
      <c r="G440" s="6" cm="1">
        <f t="array" ref="G440">_xlfn.XLOOKUP(1,(Лист2!A$2:A$505=A440)*(Лист2!B$2:B$505=B440),Лист2!E$2:E$505)</f>
        <v>23974</v>
      </c>
      <c r="H440">
        <f t="shared" si="12"/>
        <v>436871.201612903</v>
      </c>
      <c r="I440">
        <f t="shared" si="13"/>
        <v>22</v>
      </c>
    </row>
    <row r="441" ht="14.25" customHeight="1" spans="1:9">
      <c r="A441" s="12">
        <v>43969</v>
      </c>
      <c r="B441" s="13" t="s">
        <v>16</v>
      </c>
      <c r="C441" s="13">
        <v>70278</v>
      </c>
      <c r="D441" s="13">
        <v>5798476.5</v>
      </c>
      <c r="E441" s="6" cm="1">
        <f t="array" ref="E441">_xlfn.XLOOKUP(1,(Лист2!A$2:A$505=A441)*(Лист2!B$2:B$505=B441),Лист2!C$2:C$505)</f>
        <v>36</v>
      </c>
      <c r="F441" s="6" cm="1">
        <f t="array" ref="F441">_xlfn.XLOOKUP(1,(Лист2!A$2:A$505=A441)*(Лист2!B$2:B$505=B441),Лист2!D$2:D$505)</f>
        <v>4885</v>
      </c>
      <c r="G441" s="6" cm="1">
        <f t="array" ref="G441">_xlfn.XLOOKUP(1,(Лист2!A$2:A$505=A441)*(Лист2!B$2:B$505=B441),Лист2!E$2:E$505)</f>
        <v>4502</v>
      </c>
      <c r="H441">
        <f t="shared" si="12"/>
        <v>161068.791666667</v>
      </c>
      <c r="I441">
        <f t="shared" si="13"/>
        <v>21</v>
      </c>
    </row>
    <row r="442" ht="14.25" customHeight="1" spans="1:9">
      <c r="A442" s="10">
        <v>43965</v>
      </c>
      <c r="B442" s="11" t="s">
        <v>16</v>
      </c>
      <c r="C442" s="11">
        <v>63645</v>
      </c>
      <c r="D442" s="11">
        <v>5366602.5</v>
      </c>
      <c r="E442" s="6" cm="1">
        <f t="array" ref="E442">_xlfn.XLOOKUP(1,(Лист2!A$2:A$505=A442)*(Лист2!B$2:B$505=B442),Лист2!C$2:C$505)</f>
        <v>36</v>
      </c>
      <c r="F442" s="6" cm="1">
        <f t="array" ref="F442">_xlfn.XLOOKUP(1,(Лист2!A$2:A$505=A442)*(Лист2!B$2:B$505=B442),Лист2!D$2:D$505)</f>
        <v>4285</v>
      </c>
      <c r="G442" s="6" cm="1">
        <f t="array" ref="G442">_xlfn.XLOOKUP(1,(Лист2!A$2:A$505=A442)*(Лист2!B$2:B$505=B442),Лист2!E$2:E$505)</f>
        <v>3950</v>
      </c>
      <c r="H442">
        <f t="shared" si="12"/>
        <v>149072.291666667</v>
      </c>
      <c r="I442">
        <f t="shared" si="13"/>
        <v>20</v>
      </c>
    </row>
    <row r="443" ht="14.25" customHeight="1" spans="1:9">
      <c r="A443" s="12">
        <v>43966</v>
      </c>
      <c r="B443" s="13" t="s">
        <v>16</v>
      </c>
      <c r="C443" s="13">
        <v>75642</v>
      </c>
      <c r="D443" s="13">
        <v>6293952</v>
      </c>
      <c r="E443" s="6" cm="1">
        <f t="array" ref="E443">_xlfn.XLOOKUP(1,(Лист2!A$2:A$505=A443)*(Лист2!B$2:B$505=B443),Лист2!C$2:C$505)</f>
        <v>36</v>
      </c>
      <c r="F443" s="6" cm="1">
        <f t="array" ref="F443">_xlfn.XLOOKUP(1,(Лист2!A$2:A$505=A443)*(Лист2!B$2:B$505=B443),Лист2!D$2:D$505)</f>
        <v>4862</v>
      </c>
      <c r="G443" s="6" cm="1">
        <f t="array" ref="G443">_xlfn.XLOOKUP(1,(Лист2!A$2:A$505=A443)*(Лист2!B$2:B$505=B443),Лист2!E$2:E$505)</f>
        <v>4476</v>
      </c>
      <c r="H443">
        <f t="shared" si="12"/>
        <v>174832</v>
      </c>
      <c r="I443">
        <f t="shared" si="13"/>
        <v>20</v>
      </c>
    </row>
    <row r="444" ht="14.25" customHeight="1" spans="1:9">
      <c r="A444" s="10">
        <v>43978</v>
      </c>
      <c r="B444" s="11" t="s">
        <v>17</v>
      </c>
      <c r="C444" s="11">
        <v>40420.5</v>
      </c>
      <c r="D444" s="11">
        <v>3780852</v>
      </c>
      <c r="E444" s="6" cm="1">
        <f t="array" ref="E444">_xlfn.XLOOKUP(1,(Лист2!A$2:A$505=A444)*(Лист2!B$2:B$505=B444),Лист2!C$2:C$505)</f>
        <v>21</v>
      </c>
      <c r="F444" s="6" cm="1">
        <f t="array" ref="F444">_xlfn.XLOOKUP(1,(Лист2!A$2:A$505=A444)*(Лист2!B$2:B$505=B444),Лист2!D$2:D$505)</f>
        <v>2430</v>
      </c>
      <c r="G444" s="6" cm="1">
        <f t="array" ref="G444">_xlfn.XLOOKUP(1,(Лист2!A$2:A$505=A444)*(Лист2!B$2:B$505=B444),Лист2!E$2:E$505)</f>
        <v>2216</v>
      </c>
      <c r="H444">
        <f t="shared" si="12"/>
        <v>180040.571428571</v>
      </c>
      <c r="I444">
        <f t="shared" si="13"/>
        <v>22</v>
      </c>
    </row>
    <row r="445" ht="14.25" customHeight="1" spans="1:9">
      <c r="A445" s="12">
        <v>43973</v>
      </c>
      <c r="B445" s="13" t="s">
        <v>17</v>
      </c>
      <c r="C445" s="13">
        <v>53838</v>
      </c>
      <c r="D445" s="13">
        <v>4840833</v>
      </c>
      <c r="E445" s="6" cm="1">
        <f t="array" ref="E445">_xlfn.XLOOKUP(1,(Лист2!A$2:A$505=A445)*(Лист2!B$2:B$505=B445),Лист2!C$2:C$505)</f>
        <v>21</v>
      </c>
      <c r="F445" s="6" cm="1">
        <f t="array" ref="F445">_xlfn.XLOOKUP(1,(Лист2!A$2:A$505=A445)*(Лист2!B$2:B$505=B445),Лист2!D$2:D$505)</f>
        <v>2861</v>
      </c>
      <c r="G445" s="6" cm="1">
        <f t="array" ref="G445">_xlfn.XLOOKUP(1,(Лист2!A$2:A$505=A445)*(Лист2!B$2:B$505=B445),Лист2!E$2:E$505)</f>
        <v>2612</v>
      </c>
      <c r="H445">
        <f t="shared" si="12"/>
        <v>230515.857142857</v>
      </c>
      <c r="I445">
        <f t="shared" si="13"/>
        <v>21</v>
      </c>
    </row>
    <row r="446" ht="14.25" customHeight="1" spans="1:9">
      <c r="A446" s="10">
        <v>43983</v>
      </c>
      <c r="B446" s="11" t="s">
        <v>17</v>
      </c>
      <c r="C446" s="11">
        <v>40528.5</v>
      </c>
      <c r="D446" s="11">
        <v>3865251</v>
      </c>
      <c r="E446" s="6" cm="1">
        <f t="array" ref="E446">_xlfn.XLOOKUP(1,(Лист2!A$2:A$505=A446)*(Лист2!B$2:B$505=B446),Лист2!C$2:C$505)</f>
        <v>23</v>
      </c>
      <c r="F446" s="6" cm="1">
        <f t="array" ref="F446">_xlfn.XLOOKUP(1,(Лист2!A$2:A$505=A446)*(Лист2!B$2:B$505=B446),Лист2!D$2:D$505)</f>
        <v>2531</v>
      </c>
      <c r="G446" s="6" cm="1">
        <f t="array" ref="G446">_xlfn.XLOOKUP(1,(Лист2!A$2:A$505=A446)*(Лист2!B$2:B$505=B446),Лист2!E$2:E$505)</f>
        <v>2296</v>
      </c>
      <c r="H446">
        <f t="shared" si="12"/>
        <v>168054.391304348</v>
      </c>
      <c r="I446">
        <f t="shared" si="13"/>
        <v>23</v>
      </c>
    </row>
    <row r="447" ht="14.25" customHeight="1" spans="1:9">
      <c r="A447" s="12">
        <v>43962</v>
      </c>
      <c r="B447" s="13" t="s">
        <v>17</v>
      </c>
      <c r="C447" s="13">
        <v>32733</v>
      </c>
      <c r="D447" s="13">
        <v>3079630.5</v>
      </c>
      <c r="E447" s="6" cm="1">
        <f t="array" ref="E447">_xlfn.XLOOKUP(1,(Лист2!A$2:A$505=A447)*(Лист2!B$2:B$505=B447),Лист2!C$2:C$505)</f>
        <v>21</v>
      </c>
      <c r="F447" s="6" cm="1">
        <f t="array" ref="F447">_xlfn.XLOOKUP(1,(Лист2!A$2:A$505=A447)*(Лист2!B$2:B$505=B447),Лист2!D$2:D$505)</f>
        <v>1916</v>
      </c>
      <c r="G447" s="6" cm="1">
        <f t="array" ref="G447">_xlfn.XLOOKUP(1,(Лист2!A$2:A$505=A447)*(Лист2!B$2:B$505=B447),Лист2!E$2:E$505)</f>
        <v>1733</v>
      </c>
      <c r="H447">
        <f t="shared" si="12"/>
        <v>146649.071428571</v>
      </c>
      <c r="I447">
        <f t="shared" si="13"/>
        <v>20</v>
      </c>
    </row>
    <row r="448" ht="14.25" customHeight="1" spans="1:9">
      <c r="A448" s="10">
        <v>43980</v>
      </c>
      <c r="B448" s="11" t="s">
        <v>16</v>
      </c>
      <c r="C448" s="11">
        <v>84433.5</v>
      </c>
      <c r="D448" s="11">
        <v>7228395</v>
      </c>
      <c r="E448" s="6" cm="1">
        <f t="array" ref="E448">_xlfn.XLOOKUP(1,(Лист2!A$2:A$505=A448)*(Лист2!B$2:B$505=B448),Лист2!C$2:C$505)</f>
        <v>37</v>
      </c>
      <c r="F448" s="6" cm="1">
        <f t="array" ref="F448">_xlfn.XLOOKUP(1,(Лист2!A$2:A$505=A448)*(Лист2!B$2:B$505=B448),Лист2!D$2:D$505)</f>
        <v>5672</v>
      </c>
      <c r="G448" s="6" cm="1">
        <f t="array" ref="G448">_xlfn.XLOOKUP(1,(Лист2!A$2:A$505=A448)*(Лист2!B$2:B$505=B448),Лист2!E$2:E$505)</f>
        <v>5198</v>
      </c>
      <c r="H448">
        <f t="shared" si="12"/>
        <v>195362.027027027</v>
      </c>
      <c r="I448">
        <f t="shared" si="13"/>
        <v>22</v>
      </c>
    </row>
    <row r="449" ht="14.25" customHeight="1" spans="1:9">
      <c r="A449" s="12">
        <v>43969</v>
      </c>
      <c r="B449" s="13" t="s">
        <v>17</v>
      </c>
      <c r="C449" s="13">
        <v>36655.5</v>
      </c>
      <c r="D449" s="13">
        <v>3360135</v>
      </c>
      <c r="E449" s="6" cm="1">
        <f t="array" ref="E449">_xlfn.XLOOKUP(1,(Лист2!A$2:A$505=A449)*(Лист2!B$2:B$505=B449),Лист2!C$2:C$505)</f>
        <v>21</v>
      </c>
      <c r="F449" s="6" cm="1">
        <f t="array" ref="F449">_xlfn.XLOOKUP(1,(Лист2!A$2:A$505=A449)*(Лист2!B$2:B$505=B449),Лист2!D$2:D$505)</f>
        <v>2136</v>
      </c>
      <c r="G449" s="6" cm="1">
        <f t="array" ref="G449">_xlfn.XLOOKUP(1,(Лист2!A$2:A$505=A449)*(Лист2!B$2:B$505=B449),Лист2!E$2:E$505)</f>
        <v>1947</v>
      </c>
      <c r="H449">
        <f t="shared" si="12"/>
        <v>160006.428571429</v>
      </c>
      <c r="I449">
        <f t="shared" si="13"/>
        <v>21</v>
      </c>
    </row>
    <row r="450" ht="14.25" customHeight="1" spans="1:9">
      <c r="A450" s="10">
        <v>43965</v>
      </c>
      <c r="B450" s="11" t="s">
        <v>17</v>
      </c>
      <c r="C450" s="11">
        <v>33886.5</v>
      </c>
      <c r="D450" s="11">
        <v>3166479</v>
      </c>
      <c r="E450" s="6" cm="1">
        <f t="array" ref="E450">_xlfn.XLOOKUP(1,(Лист2!A$2:A$505=A450)*(Лист2!B$2:B$505=B450),Лист2!C$2:C$505)</f>
        <v>21</v>
      </c>
      <c r="F450" s="6" cm="1">
        <f t="array" ref="F450">_xlfn.XLOOKUP(1,(Лист2!A$2:A$505=A450)*(Лист2!B$2:B$505=B450),Лист2!D$2:D$505)</f>
        <v>1993</v>
      </c>
      <c r="G450" s="6" cm="1">
        <f t="array" ref="G450">_xlfn.XLOOKUP(1,(Лист2!A$2:A$505=A450)*(Лист2!B$2:B$505=B450),Лист2!E$2:E$505)</f>
        <v>1796</v>
      </c>
      <c r="H450">
        <f t="shared" si="12"/>
        <v>150784.714285714</v>
      </c>
      <c r="I450">
        <f t="shared" si="13"/>
        <v>20</v>
      </c>
    </row>
    <row r="451" ht="14.25" customHeight="1" spans="1:9">
      <c r="A451" s="12">
        <v>43966</v>
      </c>
      <c r="B451" s="13" t="s">
        <v>17</v>
      </c>
      <c r="C451" s="13">
        <v>41697</v>
      </c>
      <c r="D451" s="13">
        <v>3772258.5</v>
      </c>
      <c r="E451" s="6" cm="1">
        <f t="array" ref="E451">_xlfn.XLOOKUP(1,(Лист2!A$2:A$505=A451)*(Лист2!B$2:B$505=B451),Лист2!C$2:C$505)</f>
        <v>21</v>
      </c>
      <c r="F451" s="6" cm="1">
        <f t="array" ref="F451">_xlfn.XLOOKUP(1,(Лист2!A$2:A$505=A451)*(Лист2!B$2:B$505=B451),Лист2!D$2:D$505)</f>
        <v>2255</v>
      </c>
      <c r="G451" s="6" cm="1">
        <f t="array" ref="G451">_xlfn.XLOOKUP(1,(Лист2!A$2:A$505=A451)*(Лист2!B$2:B$505=B451),Лист2!E$2:E$505)</f>
        <v>2045</v>
      </c>
      <c r="H451">
        <f t="shared" ref="H451:H505" si="14">D451/E451</f>
        <v>179631.357142857</v>
      </c>
      <c r="I451">
        <f t="shared" ref="I451:I505" si="15">WEEKNUM(A451,2)</f>
        <v>20</v>
      </c>
    </row>
    <row r="452" ht="14.25" customHeight="1" spans="1:9">
      <c r="A452" s="10">
        <v>43980</v>
      </c>
      <c r="B452" s="11" t="s">
        <v>17</v>
      </c>
      <c r="C452" s="11">
        <v>44569.5</v>
      </c>
      <c r="D452" s="11">
        <v>4108596</v>
      </c>
      <c r="E452" s="6" cm="1">
        <f t="array" ref="E452">_xlfn.XLOOKUP(1,(Лист2!A$2:A$505=A452)*(Лист2!B$2:B$505=B452),Лист2!C$2:C$505)</f>
        <v>22</v>
      </c>
      <c r="F452" s="6" cm="1">
        <f t="array" ref="F452">_xlfn.XLOOKUP(1,(Лист2!A$2:A$505=A452)*(Лист2!B$2:B$505=B452),Лист2!D$2:D$505)</f>
        <v>2597</v>
      </c>
      <c r="G452" s="6" cm="1">
        <f t="array" ref="G452">_xlfn.XLOOKUP(1,(Лист2!A$2:A$505=A452)*(Лист2!B$2:B$505=B452),Лист2!E$2:E$505)</f>
        <v>2379</v>
      </c>
      <c r="H452">
        <f t="shared" si="14"/>
        <v>186754.363636364</v>
      </c>
      <c r="I452">
        <f t="shared" si="15"/>
        <v>22</v>
      </c>
    </row>
    <row r="453" ht="14.25" customHeight="1" spans="1:9">
      <c r="A453" s="12">
        <v>43978</v>
      </c>
      <c r="B453" s="13" t="s">
        <v>18</v>
      </c>
      <c r="C453" s="13">
        <v>18069</v>
      </c>
      <c r="D453" s="13">
        <v>1603084.5</v>
      </c>
      <c r="E453" s="6" cm="1">
        <f t="array" ref="E453">_xlfn.XLOOKUP(1,(Лист2!A$2:A$505=A453)*(Лист2!B$2:B$505=B453),Лист2!C$2:C$505)</f>
        <v>17</v>
      </c>
      <c r="F453" s="6" cm="1">
        <f t="array" ref="F453">_xlfn.XLOOKUP(1,(Лист2!A$2:A$505=A453)*(Лист2!B$2:B$505=B453),Лист2!D$2:D$505)</f>
        <v>1203</v>
      </c>
      <c r="G453" s="6" cm="1">
        <f t="array" ref="G453">_xlfn.XLOOKUP(1,(Лист2!A$2:A$505=A453)*(Лист2!B$2:B$505=B453),Лист2!E$2:E$505)</f>
        <v>1077</v>
      </c>
      <c r="H453">
        <f t="shared" si="14"/>
        <v>94299.0882352941</v>
      </c>
      <c r="I453">
        <f t="shared" si="15"/>
        <v>22</v>
      </c>
    </row>
    <row r="454" ht="14.25" customHeight="1" spans="1:9">
      <c r="A454" s="10">
        <v>43973</v>
      </c>
      <c r="B454" s="11" t="s">
        <v>18</v>
      </c>
      <c r="C454" s="11">
        <v>21483</v>
      </c>
      <c r="D454" s="11">
        <v>1774329</v>
      </c>
      <c r="E454" s="6" cm="1">
        <f t="array" ref="E454">_xlfn.XLOOKUP(1,(Лист2!A$2:A$505=A454)*(Лист2!B$2:B$505=B454),Лист2!C$2:C$505)</f>
        <v>17</v>
      </c>
      <c r="F454" s="6" cm="1">
        <f t="array" ref="F454">_xlfn.XLOOKUP(1,(Лист2!A$2:A$505=A454)*(Лист2!B$2:B$505=B454),Лист2!D$2:D$505)</f>
        <v>1268</v>
      </c>
      <c r="G454" s="6" cm="1">
        <f t="array" ref="G454">_xlfn.XLOOKUP(1,(Лист2!A$2:A$505=A454)*(Лист2!B$2:B$505=B454),Лист2!E$2:E$505)</f>
        <v>1129</v>
      </c>
      <c r="H454">
        <f t="shared" si="14"/>
        <v>104372.294117647</v>
      </c>
      <c r="I454">
        <f t="shared" si="15"/>
        <v>21</v>
      </c>
    </row>
    <row r="455" ht="14.25" customHeight="1" spans="1:9">
      <c r="A455" s="12">
        <v>43983</v>
      </c>
      <c r="B455" s="13" t="s">
        <v>18</v>
      </c>
      <c r="C455" s="13">
        <v>16687.5</v>
      </c>
      <c r="D455" s="13">
        <v>1526608.5</v>
      </c>
      <c r="E455" s="6" cm="1">
        <f t="array" ref="E455">_xlfn.XLOOKUP(1,(Лист2!A$2:A$505=A455)*(Лист2!B$2:B$505=B455),Лист2!C$2:C$505)</f>
        <v>17</v>
      </c>
      <c r="F455" s="6" cm="1">
        <f t="array" ref="F455">_xlfn.XLOOKUP(1,(Лист2!A$2:A$505=A455)*(Лист2!B$2:B$505=B455),Лист2!D$2:D$505)</f>
        <v>1185</v>
      </c>
      <c r="G455" s="6" cm="1">
        <f t="array" ref="G455">_xlfn.XLOOKUP(1,(Лист2!A$2:A$505=A455)*(Лист2!B$2:B$505=B455),Лист2!E$2:E$505)</f>
        <v>1042</v>
      </c>
      <c r="H455">
        <f t="shared" si="14"/>
        <v>89800.5</v>
      </c>
      <c r="I455">
        <f t="shared" si="15"/>
        <v>23</v>
      </c>
    </row>
    <row r="456" ht="14.25" customHeight="1" spans="1:9">
      <c r="A456" s="10">
        <v>43962</v>
      </c>
      <c r="B456" s="11" t="s">
        <v>18</v>
      </c>
      <c r="C456" s="11">
        <v>12238.5</v>
      </c>
      <c r="D456" s="11">
        <v>1096002</v>
      </c>
      <c r="E456" s="6" cm="1">
        <f t="array" ref="E456">_xlfn.XLOOKUP(1,(Лист2!A$2:A$505=A456)*(Лист2!B$2:B$505=B456),Лист2!C$2:C$505)</f>
        <v>15</v>
      </c>
      <c r="F456" s="6" cm="1">
        <f t="array" ref="F456">_xlfn.XLOOKUP(1,(Лист2!A$2:A$505=A456)*(Лист2!B$2:B$505=B456),Лист2!D$2:D$505)</f>
        <v>812</v>
      </c>
      <c r="G456" s="6" cm="1">
        <f t="array" ref="G456">_xlfn.XLOOKUP(1,(Лист2!A$2:A$505=A456)*(Лист2!B$2:B$505=B456),Лист2!E$2:E$505)</f>
        <v>714</v>
      </c>
      <c r="H456">
        <f t="shared" si="14"/>
        <v>73066.8</v>
      </c>
      <c r="I456">
        <f t="shared" si="15"/>
        <v>20</v>
      </c>
    </row>
    <row r="457" ht="14.25" customHeight="1" spans="1:9">
      <c r="A457" s="12">
        <v>43969</v>
      </c>
      <c r="B457" s="13" t="s">
        <v>18</v>
      </c>
      <c r="C457" s="13">
        <v>14290.5</v>
      </c>
      <c r="D457" s="13">
        <v>1246162.5</v>
      </c>
      <c r="E457" s="6" cm="1">
        <f t="array" ref="E457">_xlfn.XLOOKUP(1,(Лист2!A$2:A$505=A457)*(Лист2!B$2:B$505=B457),Лист2!C$2:C$505)</f>
        <v>16</v>
      </c>
      <c r="F457" s="6" cm="1">
        <f t="array" ref="F457">_xlfn.XLOOKUP(1,(Лист2!A$2:A$505=A457)*(Лист2!B$2:B$505=B457),Лист2!D$2:D$505)</f>
        <v>925</v>
      </c>
      <c r="G457" s="6" cm="1">
        <f t="array" ref="G457">_xlfn.XLOOKUP(1,(Лист2!A$2:A$505=A457)*(Лист2!B$2:B$505=B457),Лист2!E$2:E$505)</f>
        <v>816</v>
      </c>
      <c r="H457">
        <f t="shared" si="14"/>
        <v>77885.15625</v>
      </c>
      <c r="I457">
        <f t="shared" si="15"/>
        <v>21</v>
      </c>
    </row>
    <row r="458" ht="14.25" customHeight="1" spans="1:9">
      <c r="A458" s="10">
        <v>43965</v>
      </c>
      <c r="B458" s="11" t="s">
        <v>18</v>
      </c>
      <c r="C458" s="11">
        <v>14385</v>
      </c>
      <c r="D458" s="11">
        <v>1223491.5</v>
      </c>
      <c r="E458" s="6" cm="1">
        <f t="array" ref="E458">_xlfn.XLOOKUP(1,(Лист2!A$2:A$505=A458)*(Лист2!B$2:B$505=B458),Лист2!C$2:C$505)</f>
        <v>15</v>
      </c>
      <c r="F458" s="6" cm="1">
        <f t="array" ref="F458">_xlfn.XLOOKUP(1,(Лист2!A$2:A$505=A458)*(Лист2!B$2:B$505=B458),Лист2!D$2:D$505)</f>
        <v>890</v>
      </c>
      <c r="G458" s="6" cm="1">
        <f t="array" ref="G458">_xlfn.XLOOKUP(1,(Лист2!A$2:A$505=A458)*(Лист2!B$2:B$505=B458),Лист2!E$2:E$505)</f>
        <v>777</v>
      </c>
      <c r="H458">
        <f t="shared" si="14"/>
        <v>81566.1</v>
      </c>
      <c r="I458">
        <f t="shared" si="15"/>
        <v>20</v>
      </c>
    </row>
    <row r="459" ht="14.25" customHeight="1" spans="1:9">
      <c r="A459" s="12">
        <v>43966</v>
      </c>
      <c r="B459" s="13" t="s">
        <v>18</v>
      </c>
      <c r="C459" s="13">
        <v>16498.5</v>
      </c>
      <c r="D459" s="13">
        <v>1370482.5</v>
      </c>
      <c r="E459" s="6" cm="1">
        <f t="array" ref="E459">_xlfn.XLOOKUP(1,(Лист2!A$2:A$505=A459)*(Лист2!B$2:B$505=B459),Лист2!C$2:C$505)</f>
        <v>15</v>
      </c>
      <c r="F459" s="6" cm="1">
        <f t="array" ref="F459">_xlfn.XLOOKUP(1,(Лист2!A$2:A$505=A459)*(Лист2!B$2:B$505=B459),Лист2!D$2:D$505)</f>
        <v>980</v>
      </c>
      <c r="G459" s="6" cm="1">
        <f t="array" ref="G459">_xlfn.XLOOKUP(1,(Лист2!A$2:A$505=A459)*(Лист2!B$2:B$505=B459),Лист2!E$2:E$505)</f>
        <v>867</v>
      </c>
      <c r="H459">
        <f t="shared" si="14"/>
        <v>91365.5</v>
      </c>
      <c r="I459">
        <f t="shared" si="15"/>
        <v>20</v>
      </c>
    </row>
    <row r="460" ht="14.25" customHeight="1" spans="1:9">
      <c r="A460" s="10">
        <v>43978</v>
      </c>
      <c r="B460" s="11" t="s">
        <v>19</v>
      </c>
      <c r="C460" s="11">
        <v>13203</v>
      </c>
      <c r="D460" s="11">
        <v>1211457</v>
      </c>
      <c r="E460" s="6" cm="1">
        <f t="array" ref="E460">_xlfn.XLOOKUP(1,(Лист2!A$2:A$505=A460)*(Лист2!B$2:B$505=B460),Лист2!C$2:C$505)</f>
        <v>15</v>
      </c>
      <c r="F460" s="6" cm="1">
        <f t="array" ref="F460">_xlfn.XLOOKUP(1,(Лист2!A$2:A$505=A460)*(Лист2!B$2:B$505=B460),Лист2!D$2:D$505)</f>
        <v>809</v>
      </c>
      <c r="G460" s="6" cm="1">
        <f t="array" ref="G460">_xlfn.XLOOKUP(1,(Лист2!A$2:A$505=A460)*(Лист2!B$2:B$505=B460),Лист2!E$2:E$505)</f>
        <v>702</v>
      </c>
      <c r="H460">
        <f t="shared" si="14"/>
        <v>80763.8</v>
      </c>
      <c r="I460">
        <f t="shared" si="15"/>
        <v>22</v>
      </c>
    </row>
    <row r="461" ht="14.25" customHeight="1" spans="1:9">
      <c r="A461" s="12">
        <v>43973</v>
      </c>
      <c r="B461" s="13" t="s">
        <v>19</v>
      </c>
      <c r="C461" s="13">
        <v>15802.5</v>
      </c>
      <c r="D461" s="13">
        <v>1411909.5</v>
      </c>
      <c r="E461" s="6" cm="1">
        <f t="array" ref="E461">_xlfn.XLOOKUP(1,(Лист2!A$2:A$505=A461)*(Лист2!B$2:B$505=B461),Лист2!C$2:C$505)</f>
        <v>15</v>
      </c>
      <c r="F461" s="6" cm="1">
        <f t="array" ref="F461">_xlfn.XLOOKUP(1,(Лист2!A$2:A$505=A461)*(Лист2!B$2:B$505=B461),Лист2!D$2:D$505)</f>
        <v>903</v>
      </c>
      <c r="G461" s="6" cm="1">
        <f t="array" ref="G461">_xlfn.XLOOKUP(1,(Лист2!A$2:A$505=A461)*(Лист2!B$2:B$505=B461),Лист2!E$2:E$505)</f>
        <v>792</v>
      </c>
      <c r="H461">
        <f t="shared" si="14"/>
        <v>94127.3</v>
      </c>
      <c r="I461">
        <f t="shared" si="15"/>
        <v>21</v>
      </c>
    </row>
    <row r="462" ht="14.25" customHeight="1" spans="1:9">
      <c r="A462" s="10">
        <v>43983</v>
      </c>
      <c r="B462" s="11" t="s">
        <v>19</v>
      </c>
      <c r="C462" s="11">
        <v>16476</v>
      </c>
      <c r="D462" s="11">
        <v>1565632.5</v>
      </c>
      <c r="E462" s="6" cm="1">
        <f t="array" ref="E462">_xlfn.XLOOKUP(1,(Лист2!A$2:A$505=A462)*(Лист2!B$2:B$505=B462),Лист2!C$2:C$505)</f>
        <v>16</v>
      </c>
      <c r="F462" s="6" cm="1">
        <f t="array" ref="F462">_xlfn.XLOOKUP(1,(Лист2!A$2:A$505=A462)*(Лист2!B$2:B$505=B462),Лист2!D$2:D$505)</f>
        <v>1019</v>
      </c>
      <c r="G462" s="6" cm="1">
        <f t="array" ref="G462">_xlfn.XLOOKUP(1,(Лист2!A$2:A$505=A462)*(Лист2!B$2:B$505=B462),Лист2!E$2:E$505)</f>
        <v>895</v>
      </c>
      <c r="H462">
        <f t="shared" si="14"/>
        <v>97852.03125</v>
      </c>
      <c r="I462">
        <f t="shared" si="15"/>
        <v>23</v>
      </c>
    </row>
    <row r="463" ht="14.25" customHeight="1" spans="1:9">
      <c r="A463" s="12">
        <v>43962</v>
      </c>
      <c r="B463" s="13" t="s">
        <v>19</v>
      </c>
      <c r="C463" s="13">
        <v>12654</v>
      </c>
      <c r="D463" s="13">
        <v>1081158</v>
      </c>
      <c r="E463" s="6" cm="1">
        <f t="array" ref="E463">_xlfn.XLOOKUP(1,(Лист2!A$2:A$505=A463)*(Лист2!B$2:B$505=B463),Лист2!C$2:C$505)</f>
        <v>15</v>
      </c>
      <c r="F463" s="6" cm="1">
        <f t="array" ref="F463">_xlfn.XLOOKUP(1,(Лист2!A$2:A$505=A463)*(Лист2!B$2:B$505=B463),Лист2!D$2:D$505)</f>
        <v>684</v>
      </c>
      <c r="G463" s="6" cm="1">
        <f t="array" ref="G463">_xlfn.XLOOKUP(1,(Лист2!A$2:A$505=A463)*(Лист2!B$2:B$505=B463),Лист2!E$2:E$505)</f>
        <v>585</v>
      </c>
      <c r="H463">
        <f t="shared" si="14"/>
        <v>72077.2</v>
      </c>
      <c r="I463">
        <f t="shared" si="15"/>
        <v>20</v>
      </c>
    </row>
    <row r="464" ht="14.25" customHeight="1" spans="1:9">
      <c r="A464" s="10">
        <v>43980</v>
      </c>
      <c r="B464" s="11" t="s">
        <v>18</v>
      </c>
      <c r="C464" s="11">
        <v>19647</v>
      </c>
      <c r="D464" s="11">
        <v>1764669</v>
      </c>
      <c r="E464" s="6" cm="1">
        <f t="array" ref="E464">_xlfn.XLOOKUP(1,(Лист2!A$2:A$505=A464)*(Лист2!B$2:B$505=B464),Лист2!C$2:C$505)</f>
        <v>17</v>
      </c>
      <c r="F464" s="6" cm="1">
        <f t="array" ref="F464">_xlfn.XLOOKUP(1,(Лист2!A$2:A$505=A464)*(Лист2!B$2:B$505=B464),Лист2!D$2:D$505)</f>
        <v>1296</v>
      </c>
      <c r="G464" s="6" cm="1">
        <f t="array" ref="G464">_xlfn.XLOOKUP(1,(Лист2!A$2:A$505=A464)*(Лист2!B$2:B$505=B464),Лист2!E$2:E$505)</f>
        <v>1153</v>
      </c>
      <c r="H464">
        <f t="shared" si="14"/>
        <v>103804.058823529</v>
      </c>
      <c r="I464">
        <f t="shared" si="15"/>
        <v>22</v>
      </c>
    </row>
    <row r="465" ht="14.25" customHeight="1" spans="1:9">
      <c r="A465" s="12">
        <v>43969</v>
      </c>
      <c r="B465" s="13" t="s">
        <v>19</v>
      </c>
      <c r="C465" s="13">
        <v>12450</v>
      </c>
      <c r="D465" s="13">
        <v>1115146.5</v>
      </c>
      <c r="E465" s="6" cm="1">
        <f t="array" ref="E465">_xlfn.XLOOKUP(1,(Лист2!A$2:A$505=A465)*(Лист2!B$2:B$505=B465),Лист2!C$2:C$505)</f>
        <v>15</v>
      </c>
      <c r="F465" s="6" cm="1">
        <f t="array" ref="F465">_xlfn.XLOOKUP(1,(Лист2!A$2:A$505=A465)*(Лист2!B$2:B$505=B465),Лист2!D$2:D$505)</f>
        <v>729</v>
      </c>
      <c r="G465" s="6" cm="1">
        <f t="array" ref="G465">_xlfn.XLOOKUP(1,(Лист2!A$2:A$505=A465)*(Лист2!B$2:B$505=B465),Лист2!E$2:E$505)</f>
        <v>636</v>
      </c>
      <c r="H465">
        <f t="shared" si="14"/>
        <v>74343.1</v>
      </c>
      <c r="I465">
        <f t="shared" si="15"/>
        <v>21</v>
      </c>
    </row>
    <row r="466" ht="14.25" customHeight="1" spans="1:9">
      <c r="A466" s="10">
        <v>43965</v>
      </c>
      <c r="B466" s="11" t="s">
        <v>19</v>
      </c>
      <c r="C466" s="11">
        <v>11161.5</v>
      </c>
      <c r="D466" s="11">
        <v>963502.5</v>
      </c>
      <c r="E466" s="6" cm="1">
        <f t="array" ref="E466">_xlfn.XLOOKUP(1,(Лист2!A$2:A$505=A466)*(Лист2!B$2:B$505=B466),Лист2!C$2:C$505)</f>
        <v>15</v>
      </c>
      <c r="F466" s="6" cm="1">
        <f t="array" ref="F466">_xlfn.XLOOKUP(1,(Лист2!A$2:A$505=A466)*(Лист2!B$2:B$505=B466),Лист2!D$2:D$505)</f>
        <v>638</v>
      </c>
      <c r="G466" s="6" cm="1">
        <f t="array" ref="G466">_xlfn.XLOOKUP(1,(Лист2!A$2:A$505=A466)*(Лист2!B$2:B$505=B466),Лист2!E$2:E$505)</f>
        <v>548</v>
      </c>
      <c r="H466">
        <f t="shared" si="14"/>
        <v>64233.5</v>
      </c>
      <c r="I466">
        <f t="shared" si="15"/>
        <v>20</v>
      </c>
    </row>
    <row r="467" ht="14.25" customHeight="1" spans="1:9">
      <c r="A467" s="12">
        <v>43966</v>
      </c>
      <c r="B467" s="13" t="s">
        <v>19</v>
      </c>
      <c r="C467" s="13">
        <v>12229.5</v>
      </c>
      <c r="D467" s="13">
        <v>1122730.5</v>
      </c>
      <c r="E467" s="6" cm="1">
        <f t="array" ref="E467">_xlfn.XLOOKUP(1,(Лист2!A$2:A$505=A467)*(Лист2!B$2:B$505=B467),Лист2!C$2:C$505)</f>
        <v>15</v>
      </c>
      <c r="F467" s="6" cm="1">
        <f t="array" ref="F467">_xlfn.XLOOKUP(1,(Лист2!A$2:A$505=A467)*(Лист2!B$2:B$505=B467),Лист2!D$2:D$505)</f>
        <v>688</v>
      </c>
      <c r="G467" s="6" cm="1">
        <f t="array" ref="G467">_xlfn.XLOOKUP(1,(Лист2!A$2:A$505=A467)*(Лист2!B$2:B$505=B467),Лист2!E$2:E$505)</f>
        <v>598</v>
      </c>
      <c r="H467">
        <f t="shared" si="14"/>
        <v>74848.7</v>
      </c>
      <c r="I467">
        <f t="shared" si="15"/>
        <v>20</v>
      </c>
    </row>
    <row r="468" ht="14.25" customHeight="1" spans="1:9">
      <c r="A468" s="10">
        <v>43978</v>
      </c>
      <c r="B468" s="11" t="s">
        <v>20</v>
      </c>
      <c r="C468" s="11">
        <v>28050</v>
      </c>
      <c r="D468" s="11">
        <v>2458555.5</v>
      </c>
      <c r="E468" s="6" cm="1">
        <f t="array" ref="E468">_xlfn.XLOOKUP(1,(Лист2!A$2:A$505=A468)*(Лист2!B$2:B$505=B468),Лист2!C$2:C$505)</f>
        <v>20</v>
      </c>
      <c r="F468" s="6" cm="1">
        <f t="array" ref="F468">_xlfn.XLOOKUP(1,(Лист2!A$2:A$505=A468)*(Лист2!B$2:B$505=B468),Лист2!D$2:D$505)</f>
        <v>1873</v>
      </c>
      <c r="G468" s="6" cm="1">
        <f t="array" ref="G468">_xlfn.XLOOKUP(1,(Лист2!A$2:A$505=A468)*(Лист2!B$2:B$505=B468),Лист2!E$2:E$505)</f>
        <v>1715</v>
      </c>
      <c r="H468">
        <f t="shared" si="14"/>
        <v>122927.775</v>
      </c>
      <c r="I468">
        <f t="shared" si="15"/>
        <v>22</v>
      </c>
    </row>
    <row r="469" ht="14.25" customHeight="1" spans="1:9">
      <c r="A469" s="12">
        <v>43973</v>
      </c>
      <c r="B469" s="13" t="s">
        <v>20</v>
      </c>
      <c r="C469" s="13">
        <v>30781.5</v>
      </c>
      <c r="D469" s="13">
        <v>2540715</v>
      </c>
      <c r="E469" s="6" cm="1">
        <f t="array" ref="E469">_xlfn.XLOOKUP(1,(Лист2!A$2:A$505=A469)*(Лист2!B$2:B$505=B469),Лист2!C$2:C$505)</f>
        <v>19</v>
      </c>
      <c r="F469" s="6" cm="1">
        <f t="array" ref="F469">_xlfn.XLOOKUP(1,(Лист2!A$2:A$505=A469)*(Лист2!B$2:B$505=B469),Лист2!D$2:D$505)</f>
        <v>1859</v>
      </c>
      <c r="G469" s="6" cm="1">
        <f t="array" ref="G469">_xlfn.XLOOKUP(1,(Лист2!A$2:A$505=A469)*(Лист2!B$2:B$505=B469),Лист2!E$2:E$505)</f>
        <v>1697</v>
      </c>
      <c r="H469">
        <f t="shared" si="14"/>
        <v>133721.842105263</v>
      </c>
      <c r="I469">
        <f t="shared" si="15"/>
        <v>21</v>
      </c>
    </row>
    <row r="470" ht="14.25" customHeight="1" spans="1:9">
      <c r="A470" s="10">
        <v>43983</v>
      </c>
      <c r="B470" s="11" t="s">
        <v>20</v>
      </c>
      <c r="C470" s="11">
        <v>27960</v>
      </c>
      <c r="D470" s="11">
        <v>2538967.5</v>
      </c>
      <c r="E470" s="6" cm="1">
        <f t="array" ref="E470">_xlfn.XLOOKUP(1,(Лист2!A$2:A$505=A470)*(Лист2!B$2:B$505=B470),Лист2!C$2:C$505)</f>
        <v>21</v>
      </c>
      <c r="F470" s="6" cm="1">
        <f t="array" ref="F470">_xlfn.XLOOKUP(1,(Лист2!A$2:A$505=A470)*(Лист2!B$2:B$505=B470),Лист2!D$2:D$505)</f>
        <v>1879</v>
      </c>
      <c r="G470" s="6" cm="1">
        <f t="array" ref="G470">_xlfn.XLOOKUP(1,(Лист2!A$2:A$505=A470)*(Лист2!B$2:B$505=B470),Лист2!E$2:E$505)</f>
        <v>1720</v>
      </c>
      <c r="H470">
        <f t="shared" si="14"/>
        <v>120903.214285714</v>
      </c>
      <c r="I470">
        <f t="shared" si="15"/>
        <v>23</v>
      </c>
    </row>
    <row r="471" ht="14.25" customHeight="1" spans="1:9">
      <c r="A471" s="12">
        <v>43962</v>
      </c>
      <c r="B471" s="13" t="s">
        <v>20</v>
      </c>
      <c r="C471" s="13">
        <v>23629.5</v>
      </c>
      <c r="D471" s="13">
        <v>2164365</v>
      </c>
      <c r="E471" s="6" cm="1">
        <f t="array" ref="E471">_xlfn.XLOOKUP(1,(Лист2!A$2:A$505=A471)*(Лист2!B$2:B$505=B471),Лист2!C$2:C$505)</f>
        <v>19</v>
      </c>
      <c r="F471" s="6" cm="1">
        <f t="array" ref="F471">_xlfn.XLOOKUP(1,(Лист2!A$2:A$505=A471)*(Лист2!B$2:B$505=B471),Лист2!D$2:D$505)</f>
        <v>1527</v>
      </c>
      <c r="G471" s="6" cm="1">
        <f t="array" ref="G471">_xlfn.XLOOKUP(1,(Лист2!A$2:A$505=A471)*(Лист2!B$2:B$505=B471),Лист2!E$2:E$505)</f>
        <v>1389</v>
      </c>
      <c r="H471">
        <f t="shared" si="14"/>
        <v>113913.947368421</v>
      </c>
      <c r="I471">
        <f t="shared" si="15"/>
        <v>20</v>
      </c>
    </row>
    <row r="472" ht="14.25" customHeight="1" spans="1:9">
      <c r="A472" s="10">
        <v>43980</v>
      </c>
      <c r="B472" s="11" t="s">
        <v>19</v>
      </c>
      <c r="C472" s="11">
        <v>17052</v>
      </c>
      <c r="D472" s="11">
        <v>1549020</v>
      </c>
      <c r="E472" s="6" cm="1">
        <f t="array" ref="E472">_xlfn.XLOOKUP(1,(Лист2!A$2:A$505=A472)*(Лист2!B$2:B$505=B472),Лист2!C$2:C$505)</f>
        <v>16</v>
      </c>
      <c r="F472" s="6" cm="1">
        <f t="array" ref="F472">_xlfn.XLOOKUP(1,(Лист2!A$2:A$505=A472)*(Лист2!B$2:B$505=B472),Лист2!D$2:D$505)</f>
        <v>981</v>
      </c>
      <c r="G472" s="6" cm="1">
        <f t="array" ref="G472">_xlfn.XLOOKUP(1,(Лист2!A$2:A$505=A472)*(Лист2!B$2:B$505=B472),Лист2!E$2:E$505)</f>
        <v>859</v>
      </c>
      <c r="H472">
        <f t="shared" si="14"/>
        <v>96813.75</v>
      </c>
      <c r="I472">
        <f t="shared" si="15"/>
        <v>22</v>
      </c>
    </row>
    <row r="473" ht="14.25" customHeight="1" spans="1:9">
      <c r="A473" s="12">
        <v>43969</v>
      </c>
      <c r="B473" s="13" t="s">
        <v>20</v>
      </c>
      <c r="C473" s="13">
        <v>27181.5</v>
      </c>
      <c r="D473" s="13">
        <v>2324490</v>
      </c>
      <c r="E473" s="6" cm="1">
        <f t="array" ref="E473">_xlfn.XLOOKUP(1,(Лист2!A$2:A$505=A473)*(Лист2!B$2:B$505=B473),Лист2!C$2:C$505)</f>
        <v>19</v>
      </c>
      <c r="F473" s="6" cm="1">
        <f t="array" ref="F473">_xlfn.XLOOKUP(1,(Лист2!A$2:A$505=A473)*(Лист2!B$2:B$505=B473),Лист2!D$2:D$505)</f>
        <v>1741</v>
      </c>
      <c r="G473" s="6" cm="1">
        <f t="array" ref="G473">_xlfn.XLOOKUP(1,(Лист2!A$2:A$505=A473)*(Лист2!B$2:B$505=B473),Лист2!E$2:E$505)</f>
        <v>1597</v>
      </c>
      <c r="H473">
        <f t="shared" si="14"/>
        <v>122341.578947368</v>
      </c>
      <c r="I473">
        <f t="shared" si="15"/>
        <v>21</v>
      </c>
    </row>
    <row r="474" ht="14.25" customHeight="1" spans="1:9">
      <c r="A474" s="10">
        <v>43965</v>
      </c>
      <c r="B474" s="11" t="s">
        <v>20</v>
      </c>
      <c r="C474" s="11">
        <v>25656</v>
      </c>
      <c r="D474" s="11">
        <v>2225341.5</v>
      </c>
      <c r="E474" s="6" cm="1">
        <f t="array" ref="E474">_xlfn.XLOOKUP(1,(Лист2!A$2:A$505=A474)*(Лист2!B$2:B$505=B474),Лист2!C$2:C$505)</f>
        <v>19</v>
      </c>
      <c r="F474" s="6" cm="1">
        <f t="array" ref="F474">_xlfn.XLOOKUP(1,(Лист2!A$2:A$505=A474)*(Лист2!B$2:B$505=B474),Лист2!D$2:D$505)</f>
        <v>1635</v>
      </c>
      <c r="G474" s="6" cm="1">
        <f t="array" ref="G474">_xlfn.XLOOKUP(1,(Лист2!A$2:A$505=A474)*(Лист2!B$2:B$505=B474),Лист2!E$2:E$505)</f>
        <v>1487</v>
      </c>
      <c r="H474">
        <f t="shared" si="14"/>
        <v>117123.236842105</v>
      </c>
      <c r="I474">
        <f t="shared" si="15"/>
        <v>20</v>
      </c>
    </row>
    <row r="475" ht="14.25" customHeight="1" spans="1:9">
      <c r="A475" s="12">
        <v>43966</v>
      </c>
      <c r="B475" s="13" t="s">
        <v>20</v>
      </c>
      <c r="C475" s="13">
        <v>29283</v>
      </c>
      <c r="D475" s="13">
        <v>2477487</v>
      </c>
      <c r="E475" s="6" cm="1">
        <f t="array" ref="E475">_xlfn.XLOOKUP(1,(Лист2!A$2:A$505=A475)*(Лист2!B$2:B$505=B475),Лист2!C$2:C$505)</f>
        <v>19</v>
      </c>
      <c r="F475" s="6" cm="1">
        <f t="array" ref="F475">_xlfn.XLOOKUP(1,(Лист2!A$2:A$505=A475)*(Лист2!B$2:B$505=B475),Лист2!D$2:D$505)</f>
        <v>1780</v>
      </c>
      <c r="G475" s="6" cm="1">
        <f t="array" ref="G475">_xlfn.XLOOKUP(1,(Лист2!A$2:A$505=A475)*(Лист2!B$2:B$505=B475),Лист2!E$2:E$505)</f>
        <v>1615</v>
      </c>
      <c r="H475">
        <f t="shared" si="14"/>
        <v>130394.052631579</v>
      </c>
      <c r="I475">
        <f t="shared" si="15"/>
        <v>20</v>
      </c>
    </row>
    <row r="476" ht="14.25" customHeight="1" spans="1:9">
      <c r="A476" s="10">
        <v>43980</v>
      </c>
      <c r="B476" s="11" t="s">
        <v>20</v>
      </c>
      <c r="C476" s="11">
        <v>32782.5</v>
      </c>
      <c r="D476" s="11">
        <v>2854741.5</v>
      </c>
      <c r="E476" s="6" cm="1">
        <f t="array" ref="E476">_xlfn.XLOOKUP(1,(Лист2!A$2:A$505=A476)*(Лист2!B$2:B$505=B476),Лист2!C$2:C$505)</f>
        <v>20</v>
      </c>
      <c r="F476" s="6" cm="1">
        <f t="array" ref="F476">_xlfn.XLOOKUP(1,(Лист2!A$2:A$505=A476)*(Лист2!B$2:B$505=B476),Лист2!D$2:D$505)</f>
        <v>2064</v>
      </c>
      <c r="G476" s="6" cm="1">
        <f t="array" ref="G476">_xlfn.XLOOKUP(1,(Лист2!A$2:A$505=A476)*(Лист2!B$2:B$505=B476),Лист2!E$2:E$505)</f>
        <v>1896</v>
      </c>
      <c r="H476">
        <f t="shared" si="14"/>
        <v>142737.075</v>
      </c>
      <c r="I476">
        <f t="shared" si="15"/>
        <v>22</v>
      </c>
    </row>
    <row r="477" ht="14.25" customHeight="1" spans="1:9">
      <c r="A477" s="12">
        <v>43978</v>
      </c>
      <c r="B477" s="13" t="s">
        <v>21</v>
      </c>
      <c r="C477" s="13">
        <v>215592</v>
      </c>
      <c r="D477" s="13">
        <v>22342300.5</v>
      </c>
      <c r="E477" s="6" cm="1">
        <f t="array" ref="E477">_xlfn.XLOOKUP(1,(Лист2!A$2:A$505=A477)*(Лист2!B$2:B$505=B477),Лист2!C$2:C$505)</f>
        <v>59</v>
      </c>
      <c r="F477" s="6" cm="1">
        <f t="array" ref="F477">_xlfn.XLOOKUP(1,(Лист2!A$2:A$505=A477)*(Лист2!B$2:B$505=B477),Лист2!D$2:D$505)</f>
        <v>13942</v>
      </c>
      <c r="G477" s="6" cm="1">
        <f t="array" ref="G477">_xlfn.XLOOKUP(1,(Лист2!A$2:A$505=A477)*(Лист2!B$2:B$505=B477),Лист2!E$2:E$505)</f>
        <v>12986</v>
      </c>
      <c r="H477">
        <f t="shared" si="14"/>
        <v>378683.059322034</v>
      </c>
      <c r="I477">
        <f t="shared" si="15"/>
        <v>22</v>
      </c>
    </row>
    <row r="478" ht="14.25" customHeight="1" spans="1:9">
      <c r="A478" s="10">
        <v>43973</v>
      </c>
      <c r="B478" s="11" t="s">
        <v>21</v>
      </c>
      <c r="C478" s="11">
        <v>228334.5</v>
      </c>
      <c r="D478" s="11">
        <v>22380772.5</v>
      </c>
      <c r="E478" s="6" cm="1">
        <f t="array" ref="E478">_xlfn.XLOOKUP(1,(Лист2!A$2:A$505=A478)*(Лист2!B$2:B$505=B478),Лист2!C$2:C$505)</f>
        <v>60</v>
      </c>
      <c r="F478" s="6" cm="1">
        <f t="array" ref="F478">_xlfn.XLOOKUP(1,(Лист2!A$2:A$505=A478)*(Лист2!B$2:B$505=B478),Лист2!D$2:D$505)</f>
        <v>14050</v>
      </c>
      <c r="G478" s="6" cm="1">
        <f t="array" ref="G478">_xlfn.XLOOKUP(1,(Лист2!A$2:A$505=A478)*(Лист2!B$2:B$505=B478),Лист2!E$2:E$505)</f>
        <v>13027</v>
      </c>
      <c r="H478">
        <f t="shared" si="14"/>
        <v>373012.875</v>
      </c>
      <c r="I478">
        <f t="shared" si="15"/>
        <v>21</v>
      </c>
    </row>
    <row r="479" ht="14.25" customHeight="1" spans="1:9">
      <c r="A479" s="12">
        <v>43983</v>
      </c>
      <c r="B479" s="13" t="s">
        <v>21</v>
      </c>
      <c r="C479" s="13">
        <v>188776.5</v>
      </c>
      <c r="D479" s="13">
        <v>19465372.5</v>
      </c>
      <c r="E479" s="6" cm="1">
        <f t="array" ref="E479">_xlfn.XLOOKUP(1,(Лист2!A$2:A$505=A479)*(Лист2!B$2:B$505=B479),Лист2!C$2:C$505)</f>
        <v>59</v>
      </c>
      <c r="F479" s="6" cm="1">
        <f t="array" ref="F479">_xlfn.XLOOKUP(1,(Лист2!A$2:A$505=A479)*(Лист2!B$2:B$505=B479),Лист2!D$2:D$505)</f>
        <v>12299</v>
      </c>
      <c r="G479" s="6" cm="1">
        <f t="array" ref="G479">_xlfn.XLOOKUP(1,(Лист2!A$2:A$505=A479)*(Лист2!B$2:B$505=B479),Лист2!E$2:E$505)</f>
        <v>11448</v>
      </c>
      <c r="H479">
        <f t="shared" si="14"/>
        <v>329921.56779661</v>
      </c>
      <c r="I479">
        <f t="shared" si="15"/>
        <v>23</v>
      </c>
    </row>
    <row r="480" ht="14.25" customHeight="1" spans="1:9">
      <c r="A480" s="10">
        <v>43962</v>
      </c>
      <c r="B480" s="11" t="s">
        <v>21</v>
      </c>
      <c r="C480" s="11">
        <v>175293</v>
      </c>
      <c r="D480" s="11">
        <v>17919144</v>
      </c>
      <c r="E480" s="6" cm="1">
        <f t="array" ref="E480">_xlfn.XLOOKUP(1,(Лист2!A$2:A$505=A480)*(Лист2!B$2:B$505=B480),Лист2!C$2:C$505)</f>
        <v>60</v>
      </c>
      <c r="F480" s="6" cm="1">
        <f t="array" ref="F480">_xlfn.XLOOKUP(1,(Лист2!A$2:A$505=A480)*(Лист2!B$2:B$505=B480),Лист2!D$2:D$505)</f>
        <v>11100</v>
      </c>
      <c r="G480" s="6" cm="1">
        <f t="array" ref="G480">_xlfn.XLOOKUP(1,(Лист2!A$2:A$505=A480)*(Лист2!B$2:B$505=B480),Лист2!E$2:E$505)</f>
        <v>10407</v>
      </c>
      <c r="H480">
        <f t="shared" si="14"/>
        <v>298652.4</v>
      </c>
      <c r="I480">
        <f t="shared" si="15"/>
        <v>20</v>
      </c>
    </row>
    <row r="481" ht="14.25" customHeight="1" spans="1:9">
      <c r="A481" s="12">
        <v>43969</v>
      </c>
      <c r="B481" s="13" t="s">
        <v>21</v>
      </c>
      <c r="C481" s="13">
        <v>201999</v>
      </c>
      <c r="D481" s="13">
        <v>20422435.5</v>
      </c>
      <c r="E481" s="6" cm="1">
        <f t="array" ref="E481">_xlfn.XLOOKUP(1,(Лист2!A$2:A$505=A481)*(Лист2!B$2:B$505=B481),Лист2!C$2:C$505)</f>
        <v>60</v>
      </c>
      <c r="F481" s="6" cm="1">
        <f t="array" ref="F481">_xlfn.XLOOKUP(1,(Лист2!A$2:A$505=A481)*(Лист2!B$2:B$505=B481),Лист2!D$2:D$505)</f>
        <v>12460</v>
      </c>
      <c r="G481" s="6" cm="1">
        <f t="array" ref="G481">_xlfn.XLOOKUP(1,(Лист2!A$2:A$505=A481)*(Лист2!B$2:B$505=B481),Лист2!E$2:E$505)</f>
        <v>11665</v>
      </c>
      <c r="H481">
        <f t="shared" si="14"/>
        <v>340373.925</v>
      </c>
      <c r="I481">
        <f t="shared" si="15"/>
        <v>21</v>
      </c>
    </row>
    <row r="482" ht="14.25" customHeight="1" spans="1:9">
      <c r="A482" s="10">
        <v>43965</v>
      </c>
      <c r="B482" s="11" t="s">
        <v>21</v>
      </c>
      <c r="C482" s="11">
        <v>197946</v>
      </c>
      <c r="D482" s="11">
        <v>19942435.5</v>
      </c>
      <c r="E482" s="6" cm="1">
        <f t="array" ref="E482">_xlfn.XLOOKUP(1,(Лист2!A$2:A$505=A482)*(Лист2!B$2:B$505=B482),Лист2!C$2:C$505)</f>
        <v>60</v>
      </c>
      <c r="F482" s="6" cm="1">
        <f t="array" ref="F482">_xlfn.XLOOKUP(1,(Лист2!A$2:A$505=A482)*(Лист2!B$2:B$505=B482),Лист2!D$2:D$505)</f>
        <v>11935</v>
      </c>
      <c r="G482" s="6" cm="1">
        <f t="array" ref="G482">_xlfn.XLOOKUP(1,(Лист2!A$2:A$505=A482)*(Лист2!B$2:B$505=B482),Лист2!E$2:E$505)</f>
        <v>11178</v>
      </c>
      <c r="H482">
        <f t="shared" si="14"/>
        <v>332373.925</v>
      </c>
      <c r="I482">
        <f t="shared" si="15"/>
        <v>20</v>
      </c>
    </row>
    <row r="483" ht="14.25" customHeight="1" spans="1:9">
      <c r="A483" s="12">
        <v>43966</v>
      </c>
      <c r="B483" s="13" t="s">
        <v>21</v>
      </c>
      <c r="C483" s="13">
        <v>230896.5</v>
      </c>
      <c r="D483" s="13">
        <v>23085222</v>
      </c>
      <c r="E483" s="6" cm="1">
        <f t="array" ref="E483">_xlfn.XLOOKUP(1,(Лист2!A$2:A$505=A483)*(Лист2!B$2:B$505=B483),Лист2!C$2:C$505)</f>
        <v>60</v>
      </c>
      <c r="F483" s="6" cm="1">
        <f t="array" ref="F483">_xlfn.XLOOKUP(1,(Лист2!A$2:A$505=A483)*(Лист2!B$2:B$505=B483),Лист2!D$2:D$505)</f>
        <v>13544</v>
      </c>
      <c r="G483" s="6" cm="1">
        <f t="array" ref="G483">_xlfn.XLOOKUP(1,(Лист2!A$2:A$505=A483)*(Лист2!B$2:B$505=B483),Лист2!E$2:E$505)</f>
        <v>12643</v>
      </c>
      <c r="H483">
        <f t="shared" si="14"/>
        <v>384753.7</v>
      </c>
      <c r="I483">
        <f t="shared" si="15"/>
        <v>20</v>
      </c>
    </row>
    <row r="484" ht="14.25" customHeight="1" spans="1:9">
      <c r="A484" s="10">
        <v>43978</v>
      </c>
      <c r="B484" s="11" t="s">
        <v>22</v>
      </c>
      <c r="C484" s="11">
        <v>203532</v>
      </c>
      <c r="D484" s="11">
        <v>20953324.5</v>
      </c>
      <c r="E484" s="6" cm="1">
        <f t="array" ref="E484">_xlfn.XLOOKUP(1,(Лист2!A$2:A$505=A484)*(Лист2!B$2:B$505=B484),Лист2!C$2:C$505)</f>
        <v>54</v>
      </c>
      <c r="F484" s="6" cm="1">
        <f t="array" ref="F484">_xlfn.XLOOKUP(1,(Лист2!A$2:A$505=A484)*(Лист2!B$2:B$505=B484),Лист2!D$2:D$505)</f>
        <v>13091</v>
      </c>
      <c r="G484" s="6" cm="1">
        <f t="array" ref="G484">_xlfn.XLOOKUP(1,(Лист2!A$2:A$505=A484)*(Лист2!B$2:B$505=B484),Лист2!E$2:E$505)</f>
        <v>12216</v>
      </c>
      <c r="H484">
        <f t="shared" si="14"/>
        <v>388024.527777778</v>
      </c>
      <c r="I484">
        <f t="shared" si="15"/>
        <v>22</v>
      </c>
    </row>
    <row r="485" ht="14.25" customHeight="1" spans="1:9">
      <c r="A485" s="12">
        <v>43973</v>
      </c>
      <c r="B485" s="13" t="s">
        <v>22</v>
      </c>
      <c r="C485" s="13">
        <v>214428</v>
      </c>
      <c r="D485" s="13">
        <v>20812585.5</v>
      </c>
      <c r="E485" s="6" cm="1">
        <f t="array" ref="E485">_xlfn.XLOOKUP(1,(Лист2!A$2:A$505=A485)*(Лист2!B$2:B$505=B485),Лист2!C$2:C$505)</f>
        <v>54</v>
      </c>
      <c r="F485" s="6" cm="1">
        <f t="array" ref="F485">_xlfn.XLOOKUP(1,(Лист2!A$2:A$505=A485)*(Лист2!B$2:B$505=B485),Лист2!D$2:D$505)</f>
        <v>13014</v>
      </c>
      <c r="G485" s="6" cm="1">
        <f t="array" ref="G485">_xlfn.XLOOKUP(1,(Лист2!A$2:A$505=A485)*(Лист2!B$2:B$505=B485),Лист2!E$2:E$505)</f>
        <v>12095</v>
      </c>
      <c r="H485">
        <f t="shared" si="14"/>
        <v>385418.25</v>
      </c>
      <c r="I485">
        <f t="shared" si="15"/>
        <v>21</v>
      </c>
    </row>
    <row r="486" ht="14.25" customHeight="1" spans="1:9">
      <c r="A486" s="10">
        <v>43983</v>
      </c>
      <c r="B486" s="11" t="s">
        <v>22</v>
      </c>
      <c r="C486" s="11">
        <v>183228</v>
      </c>
      <c r="D486" s="11">
        <v>18914194.5</v>
      </c>
      <c r="E486" s="6" cm="1">
        <f t="array" ref="E486">_xlfn.XLOOKUP(1,(Лист2!A$2:A$505=A486)*(Лист2!B$2:B$505=B486),Лист2!C$2:C$505)</f>
        <v>54</v>
      </c>
      <c r="F486" s="6" cm="1">
        <f t="array" ref="F486">_xlfn.XLOOKUP(1,(Лист2!A$2:A$505=A486)*(Лист2!B$2:B$505=B486),Лист2!D$2:D$505)</f>
        <v>11864</v>
      </c>
      <c r="G486" s="6" cm="1">
        <f t="array" ref="G486">_xlfn.XLOOKUP(1,(Лист2!A$2:A$505=A486)*(Лист2!B$2:B$505=B486),Лист2!E$2:E$505)</f>
        <v>11071</v>
      </c>
      <c r="H486">
        <f t="shared" si="14"/>
        <v>350262.861111111</v>
      </c>
      <c r="I486">
        <f t="shared" si="15"/>
        <v>23</v>
      </c>
    </row>
    <row r="487" ht="14.25" customHeight="1" spans="1:9">
      <c r="A487" s="12">
        <v>43962</v>
      </c>
      <c r="B487" s="13" t="s">
        <v>22</v>
      </c>
      <c r="C487" s="13">
        <v>166948.5</v>
      </c>
      <c r="D487" s="13">
        <v>16971231</v>
      </c>
      <c r="E487" s="6" cm="1">
        <f t="array" ref="E487">_xlfn.XLOOKUP(1,(Лист2!A$2:A$505=A487)*(Лист2!B$2:B$505=B487),Лист2!C$2:C$505)</f>
        <v>54</v>
      </c>
      <c r="F487" s="6" cm="1">
        <f t="array" ref="F487">_xlfn.XLOOKUP(1,(Лист2!A$2:A$505=A487)*(Лист2!B$2:B$505=B487),Лист2!D$2:D$505)</f>
        <v>10570</v>
      </c>
      <c r="G487" s="6" cm="1">
        <f t="array" ref="G487">_xlfn.XLOOKUP(1,(Лист2!A$2:A$505=A487)*(Лист2!B$2:B$505=B487),Лист2!E$2:E$505)</f>
        <v>9926</v>
      </c>
      <c r="H487">
        <f t="shared" si="14"/>
        <v>314282.055555556</v>
      </c>
      <c r="I487">
        <f t="shared" si="15"/>
        <v>20</v>
      </c>
    </row>
    <row r="488" ht="14.25" customHeight="1" spans="1:9">
      <c r="A488" s="10">
        <v>43980</v>
      </c>
      <c r="B488" s="11" t="s">
        <v>21</v>
      </c>
      <c r="C488" s="11">
        <v>232102.5</v>
      </c>
      <c r="D488" s="11">
        <v>23120443.5</v>
      </c>
      <c r="E488" s="6" cm="1">
        <f t="array" ref="E488">_xlfn.XLOOKUP(1,(Лист2!A$2:A$505=A488)*(Лист2!B$2:B$505=B488),Лист2!C$2:C$505)</f>
        <v>59</v>
      </c>
      <c r="F488" s="6" cm="1">
        <f t="array" ref="F488">_xlfn.XLOOKUP(1,(Лист2!A$2:A$505=A488)*(Лист2!B$2:B$505=B488),Лист2!D$2:D$505)</f>
        <v>14507</v>
      </c>
      <c r="G488" s="6" cm="1">
        <f t="array" ref="G488">_xlfn.XLOOKUP(1,(Лист2!A$2:A$505=A488)*(Лист2!B$2:B$505=B488),Лист2!E$2:E$505)</f>
        <v>13386</v>
      </c>
      <c r="H488">
        <f t="shared" si="14"/>
        <v>391871.923728814</v>
      </c>
      <c r="I488">
        <f t="shared" si="15"/>
        <v>22</v>
      </c>
    </row>
    <row r="489" ht="14.25" customHeight="1" spans="1:9">
      <c r="A489" s="12">
        <v>43969</v>
      </c>
      <c r="B489" s="13" t="s">
        <v>22</v>
      </c>
      <c r="C489" s="13">
        <v>196560</v>
      </c>
      <c r="D489" s="13">
        <v>19855122</v>
      </c>
      <c r="E489" s="6" cm="1">
        <f t="array" ref="E489">_xlfn.XLOOKUP(1,(Лист2!A$2:A$505=A489)*(Лист2!B$2:B$505=B489),Лист2!C$2:C$505)</f>
        <v>54</v>
      </c>
      <c r="F489" s="6" cm="1">
        <f t="array" ref="F489">_xlfn.XLOOKUP(1,(Лист2!A$2:A$505=A489)*(Лист2!B$2:B$505=B489),Лист2!D$2:D$505)</f>
        <v>12012</v>
      </c>
      <c r="G489" s="6" cm="1">
        <f t="array" ref="G489">_xlfn.XLOOKUP(1,(Лист2!A$2:A$505=A489)*(Лист2!B$2:B$505=B489),Лист2!E$2:E$505)</f>
        <v>11308</v>
      </c>
      <c r="H489">
        <f t="shared" si="14"/>
        <v>367687.444444444</v>
      </c>
      <c r="I489">
        <f t="shared" si="15"/>
        <v>21</v>
      </c>
    </row>
    <row r="490" ht="14.25" customHeight="1" spans="1:9">
      <c r="A490" s="10">
        <v>43965</v>
      </c>
      <c r="B490" s="11" t="s">
        <v>22</v>
      </c>
      <c r="C490" s="11">
        <v>186496.5</v>
      </c>
      <c r="D490" s="11">
        <v>18640998</v>
      </c>
      <c r="E490" s="6" cm="1">
        <f t="array" ref="E490">_xlfn.XLOOKUP(1,(Лист2!A$2:A$505=A490)*(Лист2!B$2:B$505=B490),Лист2!C$2:C$505)</f>
        <v>54</v>
      </c>
      <c r="F490" s="6" cm="1">
        <f t="array" ref="F490">_xlfn.XLOOKUP(1,(Лист2!A$2:A$505=A490)*(Лист2!B$2:B$505=B490),Лист2!D$2:D$505)</f>
        <v>11194</v>
      </c>
      <c r="G490" s="6" cm="1">
        <f t="array" ref="G490">_xlfn.XLOOKUP(1,(Лист2!A$2:A$505=A490)*(Лист2!B$2:B$505=B490),Лист2!E$2:E$505)</f>
        <v>10554</v>
      </c>
      <c r="H490">
        <f t="shared" si="14"/>
        <v>345203.666666667</v>
      </c>
      <c r="I490">
        <f t="shared" si="15"/>
        <v>20</v>
      </c>
    </row>
    <row r="491" ht="14.25" customHeight="1" spans="1:9">
      <c r="A491" s="12">
        <v>43966</v>
      </c>
      <c r="B491" s="13" t="s">
        <v>22</v>
      </c>
      <c r="C491" s="13">
        <v>219772.5</v>
      </c>
      <c r="D491" s="13">
        <v>21895294.5</v>
      </c>
      <c r="E491" s="6" cm="1">
        <f t="array" ref="E491">_xlfn.XLOOKUP(1,(Лист2!A$2:A$505=A491)*(Лист2!B$2:B$505=B491),Лист2!C$2:C$505)</f>
        <v>54</v>
      </c>
      <c r="F491" s="6" cm="1">
        <f t="array" ref="F491">_xlfn.XLOOKUP(1,(Лист2!A$2:A$505=A491)*(Лист2!B$2:B$505=B491),Лист2!D$2:D$505)</f>
        <v>12791</v>
      </c>
      <c r="G491" s="6" cm="1">
        <f t="array" ref="G491">_xlfn.XLOOKUP(1,(Лист2!A$2:A$505=A491)*(Лист2!B$2:B$505=B491),Лист2!E$2:E$505)</f>
        <v>11950</v>
      </c>
      <c r="H491">
        <f t="shared" si="14"/>
        <v>405468.416666667</v>
      </c>
      <c r="I491">
        <f t="shared" si="15"/>
        <v>20</v>
      </c>
    </row>
    <row r="492" ht="14.25" customHeight="1" spans="1:9">
      <c r="A492" s="10">
        <v>43980</v>
      </c>
      <c r="B492" s="11" t="s">
        <v>22</v>
      </c>
      <c r="C492" s="11">
        <v>226476</v>
      </c>
      <c r="D492" s="11">
        <v>22416151.5</v>
      </c>
      <c r="E492" s="6" cm="1">
        <f t="array" ref="E492">_xlfn.XLOOKUP(1,(Лист2!A$2:A$505=A492)*(Лист2!B$2:B$505=B492),Лист2!C$2:C$505)</f>
        <v>54</v>
      </c>
      <c r="F492" s="6" cm="1">
        <f t="array" ref="F492">_xlfn.XLOOKUP(1,(Лист2!A$2:A$505=A492)*(Лист2!B$2:B$505=B492),Лист2!D$2:D$505)</f>
        <v>14031</v>
      </c>
      <c r="G492" s="6" cm="1">
        <f t="array" ref="G492">_xlfn.XLOOKUP(1,(Лист2!A$2:A$505=A492)*(Лист2!B$2:B$505=B492),Лист2!E$2:E$505)</f>
        <v>12943</v>
      </c>
      <c r="H492">
        <f t="shared" si="14"/>
        <v>415113.916666667</v>
      </c>
      <c r="I492">
        <f t="shared" si="15"/>
        <v>22</v>
      </c>
    </row>
    <row r="493" ht="14.25" customHeight="1" spans="1:9">
      <c r="A493" s="12">
        <v>43978</v>
      </c>
      <c r="B493" s="13" t="s">
        <v>24</v>
      </c>
      <c r="C493" s="13">
        <v>8362.5</v>
      </c>
      <c r="D493" s="13">
        <v>687684</v>
      </c>
      <c r="E493" s="6" cm="1">
        <f t="array" ref="E493">_xlfn.XLOOKUP(1,(Лист2!A$2:A$505=A493)*(Лист2!B$2:B$505=B493),Лист2!C$2:C$505)</f>
        <v>7</v>
      </c>
      <c r="F493" s="6" cm="1">
        <f t="array" ref="F493">_xlfn.XLOOKUP(1,(Лист2!A$2:A$505=A493)*(Лист2!B$2:B$505=B493),Лист2!D$2:D$505)</f>
        <v>409</v>
      </c>
      <c r="G493" s="6" cm="1">
        <f t="array" ref="G493">_xlfn.XLOOKUP(1,(Лист2!A$2:A$505=A493)*(Лист2!B$2:B$505=B493),Лист2!E$2:E$505)</f>
        <v>329</v>
      </c>
      <c r="H493">
        <f t="shared" si="14"/>
        <v>98240.5714285714</v>
      </c>
      <c r="I493">
        <f t="shared" si="15"/>
        <v>22</v>
      </c>
    </row>
    <row r="494" ht="14.25" customHeight="1" spans="1:9">
      <c r="A494" s="10">
        <v>43973</v>
      </c>
      <c r="B494" s="11" t="s">
        <v>23</v>
      </c>
      <c r="C494" s="11">
        <v>17008.5</v>
      </c>
      <c r="D494" s="11">
        <v>1398771</v>
      </c>
      <c r="E494" s="6" cm="1">
        <f t="array" ref="E494">_xlfn.XLOOKUP(1,(Лист2!A$2:A$505=A494)*(Лист2!B$2:B$505=B494),Лист2!C$2:C$505)</f>
        <v>18</v>
      </c>
      <c r="F494" s="6" cm="1">
        <f t="array" ref="F494">_xlfn.XLOOKUP(1,(Лист2!A$2:A$505=A494)*(Лист2!B$2:B$505=B494),Лист2!D$2:D$505)</f>
        <v>985</v>
      </c>
      <c r="G494" s="6" cm="1">
        <f t="array" ref="G494">_xlfn.XLOOKUP(1,(Лист2!A$2:A$505=A494)*(Лист2!B$2:B$505=B494),Лист2!E$2:E$505)</f>
        <v>861</v>
      </c>
      <c r="H494">
        <f t="shared" si="14"/>
        <v>77709.5</v>
      </c>
      <c r="I494">
        <f t="shared" si="15"/>
        <v>21</v>
      </c>
    </row>
    <row r="495" ht="14.25" customHeight="1" spans="1:9">
      <c r="A495" s="12">
        <v>43983</v>
      </c>
      <c r="B495" s="13" t="s">
        <v>25</v>
      </c>
      <c r="C495" s="13">
        <v>5166</v>
      </c>
      <c r="D495" s="13">
        <v>389013</v>
      </c>
      <c r="E495" s="6" cm="1">
        <f t="array" ref="E495">_xlfn.XLOOKUP(1,(Лист2!A$2:A$505=A495)*(Лист2!B$2:B$505=B495),Лист2!C$2:C$505)</f>
        <v>9</v>
      </c>
      <c r="F495" s="6" cm="1">
        <f t="array" ref="F495">_xlfn.XLOOKUP(1,(Лист2!A$2:A$505=A495)*(Лист2!B$2:B$505=B495),Лист2!D$2:D$505)</f>
        <v>294</v>
      </c>
      <c r="G495" s="6" cm="1">
        <f t="array" ref="G495">_xlfn.XLOOKUP(1,(Лист2!A$2:A$505=A495)*(Лист2!B$2:B$505=B495),Лист2!E$2:E$505)</f>
        <v>224</v>
      </c>
      <c r="H495">
        <f t="shared" si="14"/>
        <v>43223.6666666667</v>
      </c>
      <c r="I495">
        <f t="shared" si="15"/>
        <v>23</v>
      </c>
    </row>
    <row r="496" ht="14.25" customHeight="1" spans="1:9">
      <c r="A496" s="10">
        <v>43962</v>
      </c>
      <c r="B496" s="11" t="s">
        <v>23</v>
      </c>
      <c r="C496" s="11">
        <v>10941</v>
      </c>
      <c r="D496" s="11">
        <v>880356</v>
      </c>
      <c r="E496" s="6" cm="1">
        <f t="array" ref="E496">_xlfn.XLOOKUP(1,(Лист2!A$2:A$505=A496)*(Лист2!B$2:B$505=B496),Лист2!C$2:C$505)</f>
        <v>15</v>
      </c>
      <c r="F496" s="6" cm="1">
        <f t="array" ref="F496">_xlfn.XLOOKUP(1,(Лист2!A$2:A$505=A496)*(Лист2!B$2:B$505=B496),Лист2!D$2:D$505)</f>
        <v>654</v>
      </c>
      <c r="G496" s="6" cm="1">
        <f t="array" ref="G496">_xlfn.XLOOKUP(1,(Лист2!A$2:A$505=A496)*(Лист2!B$2:B$505=B496),Лист2!E$2:E$505)</f>
        <v>564</v>
      </c>
      <c r="H496">
        <f t="shared" si="14"/>
        <v>58690.4</v>
      </c>
      <c r="I496">
        <f t="shared" si="15"/>
        <v>20</v>
      </c>
    </row>
    <row r="497" ht="14.25" customHeight="1" spans="1:9">
      <c r="A497" s="12">
        <v>43969</v>
      </c>
      <c r="B497" s="13" t="s">
        <v>23</v>
      </c>
      <c r="C497" s="13">
        <v>14497.5</v>
      </c>
      <c r="D497" s="13">
        <v>1230711</v>
      </c>
      <c r="E497" s="6" cm="1">
        <f t="array" ref="E497">_xlfn.XLOOKUP(1,(Лист2!A$2:A$505=A497)*(Лист2!B$2:B$505=B497),Лист2!C$2:C$505)</f>
        <v>16</v>
      </c>
      <c r="F497" s="6" cm="1">
        <f t="array" ref="F497">_xlfn.XLOOKUP(1,(Лист2!A$2:A$505=A497)*(Лист2!B$2:B$505=B497),Лист2!D$2:D$505)</f>
        <v>864</v>
      </c>
      <c r="G497" s="6" cm="1">
        <f t="array" ref="G497">_xlfn.XLOOKUP(1,(Лист2!A$2:A$505=A497)*(Лист2!B$2:B$505=B497),Лист2!E$2:E$505)</f>
        <v>765</v>
      </c>
      <c r="H497">
        <f t="shared" si="14"/>
        <v>76919.4375</v>
      </c>
      <c r="I497">
        <f t="shared" si="15"/>
        <v>21</v>
      </c>
    </row>
    <row r="498" ht="14.25" customHeight="1" spans="1:9">
      <c r="A498" s="10">
        <v>43965</v>
      </c>
      <c r="B498" s="11" t="s">
        <v>23</v>
      </c>
      <c r="C498" s="11">
        <v>13810.5</v>
      </c>
      <c r="D498" s="11">
        <v>1131676.5</v>
      </c>
      <c r="E498" s="6" cm="1">
        <f t="array" ref="E498">_xlfn.XLOOKUP(1,(Лист2!A$2:A$505=A498)*(Лист2!B$2:B$505=B498),Лист2!C$2:C$505)</f>
        <v>16</v>
      </c>
      <c r="F498" s="6" cm="1">
        <f t="array" ref="F498">_xlfn.XLOOKUP(1,(Лист2!A$2:A$505=A498)*(Лист2!B$2:B$505=B498),Лист2!D$2:D$505)</f>
        <v>834</v>
      </c>
      <c r="G498" s="6" cm="1">
        <f t="array" ref="G498">_xlfn.XLOOKUP(1,(Лист2!A$2:A$505=A498)*(Лист2!B$2:B$505=B498),Лист2!E$2:E$505)</f>
        <v>735</v>
      </c>
      <c r="H498">
        <f t="shared" si="14"/>
        <v>70729.78125</v>
      </c>
      <c r="I498">
        <f t="shared" si="15"/>
        <v>20</v>
      </c>
    </row>
    <row r="499" ht="14.25" customHeight="1" spans="1:9">
      <c r="A499" s="12">
        <v>43966</v>
      </c>
      <c r="B499" s="13" t="s">
        <v>23</v>
      </c>
      <c r="C499" s="13">
        <v>13752</v>
      </c>
      <c r="D499" s="13">
        <v>1091040</v>
      </c>
      <c r="E499" s="6" cm="1">
        <f t="array" ref="E499">_xlfn.XLOOKUP(1,(Лист2!A$2:A$505=A499)*(Лист2!B$2:B$505=B499),Лист2!C$2:C$505)</f>
        <v>16</v>
      </c>
      <c r="F499" s="6" cm="1">
        <f t="array" ref="F499">_xlfn.XLOOKUP(1,(Лист2!A$2:A$505=A499)*(Лист2!B$2:B$505=B499),Лист2!D$2:D$505)</f>
        <v>817</v>
      </c>
      <c r="G499" s="6" cm="1">
        <f t="array" ref="G499">_xlfn.XLOOKUP(1,(Лист2!A$2:A$505=A499)*(Лист2!B$2:B$505=B499),Лист2!E$2:E$505)</f>
        <v>718</v>
      </c>
      <c r="H499">
        <f t="shared" si="14"/>
        <v>68190</v>
      </c>
      <c r="I499">
        <f t="shared" si="15"/>
        <v>20</v>
      </c>
    </row>
    <row r="500" ht="14.25" customHeight="1" spans="1:9">
      <c r="A500" s="10">
        <v>43978</v>
      </c>
      <c r="B500" s="11" t="s">
        <v>23</v>
      </c>
      <c r="C500" s="11">
        <v>15276</v>
      </c>
      <c r="D500" s="11">
        <v>1350199.5</v>
      </c>
      <c r="E500" s="6" cm="1">
        <f t="array" ref="E500">_xlfn.XLOOKUP(1,(Лист2!A$2:A$505=A500)*(Лист2!B$2:B$505=B500),Лист2!C$2:C$505)</f>
        <v>18</v>
      </c>
      <c r="F500" s="6" cm="1">
        <f t="array" ref="F500">_xlfn.XLOOKUP(1,(Лист2!A$2:A$505=A500)*(Лист2!B$2:B$505=B500),Лист2!D$2:D$505)</f>
        <v>962</v>
      </c>
      <c r="G500" s="6" cm="1">
        <f t="array" ref="G500">_xlfn.XLOOKUP(1,(Лист2!A$2:A$505=A500)*(Лист2!B$2:B$505=B500),Лист2!E$2:E$505)</f>
        <v>859</v>
      </c>
      <c r="H500">
        <f t="shared" si="14"/>
        <v>75011.0833333333</v>
      </c>
      <c r="I500">
        <f t="shared" si="15"/>
        <v>22</v>
      </c>
    </row>
    <row r="501" ht="14.25" customHeight="1" spans="1:9">
      <c r="A501" s="12">
        <v>43983</v>
      </c>
      <c r="B501" s="13" t="s">
        <v>26</v>
      </c>
      <c r="C501" s="13">
        <v>4408.5</v>
      </c>
      <c r="D501" s="13">
        <v>410892</v>
      </c>
      <c r="E501" s="6" cm="1">
        <f t="array" ref="E501">_xlfn.XLOOKUP(1,(Лист2!A$2:A$505=A501)*(Лист2!B$2:B$505=B501),Лист2!C$2:C$505)</f>
        <v>6</v>
      </c>
      <c r="F501" s="6" cm="1">
        <f t="array" ref="F501">_xlfn.XLOOKUP(1,(Лист2!A$2:A$505=A501)*(Лист2!B$2:B$505=B501),Лист2!D$2:D$505)</f>
        <v>237</v>
      </c>
      <c r="G501" s="6" cm="1">
        <f t="array" ref="G501">_xlfn.XLOOKUP(1,(Лист2!A$2:A$505=A501)*(Лист2!B$2:B$505=B501),Лист2!E$2:E$505)</f>
        <v>175</v>
      </c>
      <c r="H501">
        <f t="shared" si="14"/>
        <v>68482</v>
      </c>
      <c r="I501">
        <f t="shared" si="15"/>
        <v>23</v>
      </c>
    </row>
    <row r="502" ht="14.25" customHeight="1" spans="1:9">
      <c r="A502" s="10">
        <v>43980</v>
      </c>
      <c r="B502" s="11" t="s">
        <v>24</v>
      </c>
      <c r="C502" s="11">
        <v>9927</v>
      </c>
      <c r="D502" s="11">
        <v>850840.5</v>
      </c>
      <c r="E502" s="6" cm="1">
        <f t="array" ref="E502">_xlfn.XLOOKUP(1,(Лист2!A$2:A$505=A502)*(Лист2!B$2:B$505=B502),Лист2!C$2:C$505)</f>
        <v>7</v>
      </c>
      <c r="F502" s="6" cm="1">
        <f t="array" ref="F502">_xlfn.XLOOKUP(1,(Лист2!A$2:A$505=A502)*(Лист2!B$2:B$505=B502),Лист2!D$2:D$505)</f>
        <v>491</v>
      </c>
      <c r="G502" s="6" cm="1">
        <f t="array" ref="G502">_xlfn.XLOOKUP(1,(Лист2!A$2:A$505=A502)*(Лист2!B$2:B$505=B502),Лист2!E$2:E$505)</f>
        <v>411</v>
      </c>
      <c r="H502">
        <f t="shared" si="14"/>
        <v>121548.642857143</v>
      </c>
      <c r="I502">
        <f t="shared" si="15"/>
        <v>22</v>
      </c>
    </row>
    <row r="503" ht="14.25" customHeight="1" spans="1:9">
      <c r="A503" s="12">
        <v>43983</v>
      </c>
      <c r="B503" s="13" t="s">
        <v>24</v>
      </c>
      <c r="C503" s="13">
        <v>9474</v>
      </c>
      <c r="D503" s="13">
        <v>802447.5</v>
      </c>
      <c r="E503" s="6" cm="1">
        <f t="array" ref="E503">_xlfn.XLOOKUP(1,(Лист2!A$2:A$505=A503)*(Лист2!B$2:B$505=B503),Лист2!C$2:C$505)</f>
        <v>7</v>
      </c>
      <c r="F503" s="6" cm="1">
        <f t="array" ref="F503">_xlfn.XLOOKUP(1,(Лист2!A$2:A$505=A503)*(Лист2!B$2:B$505=B503),Лист2!D$2:D$505)</f>
        <v>500</v>
      </c>
      <c r="G503" s="6" cm="1">
        <f t="array" ref="G503">_xlfn.XLOOKUP(1,(Лист2!A$2:A$505=A503)*(Лист2!B$2:B$505=B503),Лист2!E$2:E$505)</f>
        <v>418</v>
      </c>
      <c r="H503">
        <f t="shared" si="14"/>
        <v>114635.357142857</v>
      </c>
      <c r="I503">
        <f t="shared" si="15"/>
        <v>23</v>
      </c>
    </row>
    <row r="504" ht="14.25" customHeight="1" spans="1:9">
      <c r="A504" s="10">
        <v>43980</v>
      </c>
      <c r="B504" s="11" t="s">
        <v>23</v>
      </c>
      <c r="C504" s="11">
        <v>16878</v>
      </c>
      <c r="D504" s="11">
        <v>1438255.5</v>
      </c>
      <c r="E504" s="6" cm="1">
        <f t="array" ref="E504">_xlfn.XLOOKUP(1,(Лист2!A$2:A$505=A504)*(Лист2!B$2:B$505=B504),Лист2!C$2:C$505)</f>
        <v>18</v>
      </c>
      <c r="F504" s="6" cm="1">
        <f t="array" ref="F504">_xlfn.XLOOKUP(1,(Лист2!A$2:A$505=A504)*(Лист2!B$2:B$505=B504),Лист2!D$2:D$505)</f>
        <v>1014</v>
      </c>
      <c r="G504" s="6" cm="1">
        <f t="array" ref="G504">_xlfn.XLOOKUP(1,(Лист2!A$2:A$505=A504)*(Лист2!B$2:B$505=B504),Лист2!E$2:E$505)</f>
        <v>893</v>
      </c>
      <c r="H504">
        <f t="shared" si="14"/>
        <v>79903.0833333333</v>
      </c>
      <c r="I504">
        <f t="shared" si="15"/>
        <v>22</v>
      </c>
    </row>
    <row r="505" ht="14.25" customHeight="1" spans="1:9">
      <c r="A505" s="14">
        <v>43983</v>
      </c>
      <c r="B505" s="15" t="s">
        <v>23</v>
      </c>
      <c r="C505" s="15">
        <v>14238</v>
      </c>
      <c r="D505" s="15">
        <v>1293219</v>
      </c>
      <c r="E505" s="6" cm="1">
        <f t="array" ref="E505">_xlfn.XLOOKUP(1,(Лист2!A$2:A$505=A505)*(Лист2!B$2:B$505=B505),Лист2!C$2:C$505)</f>
        <v>18</v>
      </c>
      <c r="F505" s="6" cm="1">
        <f t="array" ref="F505">_xlfn.XLOOKUP(1,(Лист2!A$2:A$505=A505)*(Лист2!B$2:B$505=B505),Лист2!D$2:D$505)</f>
        <v>923</v>
      </c>
      <c r="G505" s="6" cm="1">
        <f t="array" ref="G505">_xlfn.XLOOKUP(1,(Лист2!A$2:A$505=A505)*(Лист2!B$2:B$505=B505),Лист2!E$2:E$505)</f>
        <v>824</v>
      </c>
      <c r="H505">
        <f t="shared" si="14"/>
        <v>71845.5</v>
      </c>
      <c r="I505">
        <f t="shared" si="15"/>
        <v>23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B4" sqref="B4"/>
    </sheetView>
  </sheetViews>
  <sheetFormatPr defaultColWidth="14.4272727272727" defaultRowHeight="15" customHeight="1" outlineLevelCol="4"/>
  <cols>
    <col min="1" max="1" width="10.4272727272727" customWidth="1"/>
    <col min="2" max="2" width="22.8636363636364" customWidth="1"/>
    <col min="3" max="3" width="22.7090909090909" customWidth="1"/>
    <col min="4" max="4" width="22.1363636363636" customWidth="1"/>
    <col min="5" max="5" width="25.4272727272727" customWidth="1"/>
    <col min="6" max="26" width="8.70909090909091" customWidth="1"/>
  </cols>
  <sheetData>
    <row r="1" ht="14.25" customHeight="1" spans="1:5">
      <c r="A1" s="4" t="s">
        <v>0</v>
      </c>
      <c r="B1" s="4" t="s">
        <v>1</v>
      </c>
      <c r="C1" s="4" t="s">
        <v>4</v>
      </c>
      <c r="D1" s="4" t="s">
        <v>5</v>
      </c>
      <c r="E1" s="4" t="s">
        <v>6</v>
      </c>
    </row>
    <row r="2" ht="14.25" customHeight="1" spans="1:5">
      <c r="A2" s="5">
        <v>43949</v>
      </c>
      <c r="B2" s="6" t="s">
        <v>16</v>
      </c>
      <c r="C2" s="6">
        <v>36</v>
      </c>
      <c r="D2" s="6">
        <v>4923</v>
      </c>
      <c r="E2" s="6">
        <v>4560</v>
      </c>
    </row>
    <row r="3" ht="14.25" customHeight="1" spans="1:5">
      <c r="A3" s="5">
        <v>43949</v>
      </c>
      <c r="B3" s="6" t="s">
        <v>11</v>
      </c>
      <c r="C3" s="6">
        <v>31</v>
      </c>
      <c r="D3" s="6">
        <v>5465</v>
      </c>
      <c r="E3" s="6">
        <v>5096</v>
      </c>
    </row>
    <row r="4" ht="14.25" customHeight="1" spans="1:5">
      <c r="A4" s="5">
        <v>43949</v>
      </c>
      <c r="B4" s="6" t="s">
        <v>17</v>
      </c>
      <c r="C4" s="6">
        <v>19</v>
      </c>
      <c r="D4" s="6">
        <v>1846</v>
      </c>
      <c r="E4" s="6">
        <v>1681</v>
      </c>
    </row>
    <row r="5" ht="14.25" customHeight="1" spans="1:5">
      <c r="A5" s="5">
        <v>43949</v>
      </c>
      <c r="B5" s="6" t="s">
        <v>10</v>
      </c>
      <c r="C5" s="6">
        <v>18</v>
      </c>
      <c r="D5" s="6">
        <v>1539</v>
      </c>
      <c r="E5" s="6">
        <v>1404</v>
      </c>
    </row>
    <row r="6" ht="14.25" customHeight="1" spans="1:5">
      <c r="A6" s="5">
        <v>43949</v>
      </c>
      <c r="B6" s="6" t="s">
        <v>20</v>
      </c>
      <c r="C6" s="6">
        <v>18</v>
      </c>
      <c r="D6" s="6">
        <v>1505</v>
      </c>
      <c r="E6" s="6">
        <v>1368</v>
      </c>
    </row>
    <row r="7" ht="14.25" customHeight="1" spans="1:5">
      <c r="A7" s="5">
        <v>43949</v>
      </c>
      <c r="B7" s="6" t="s">
        <v>22</v>
      </c>
      <c r="C7" s="6">
        <v>54</v>
      </c>
      <c r="D7" s="6">
        <v>12306</v>
      </c>
      <c r="E7" s="6">
        <v>11532</v>
      </c>
    </row>
    <row r="8" ht="14.25" customHeight="1" spans="1:5">
      <c r="A8" s="5">
        <v>43949</v>
      </c>
      <c r="B8" s="6" t="s">
        <v>21</v>
      </c>
      <c r="C8" s="6">
        <v>59</v>
      </c>
      <c r="D8" s="6">
        <v>12943</v>
      </c>
      <c r="E8" s="6">
        <v>12072</v>
      </c>
    </row>
    <row r="9" ht="14.25" customHeight="1" spans="1:5">
      <c r="A9" s="5">
        <v>43949</v>
      </c>
      <c r="B9" s="6" t="s">
        <v>13</v>
      </c>
      <c r="C9" s="6">
        <v>17</v>
      </c>
      <c r="D9" s="6">
        <v>1439</v>
      </c>
      <c r="E9" s="6">
        <v>1265</v>
      </c>
    </row>
    <row r="10" ht="14.25" customHeight="1" spans="1:5">
      <c r="A10" s="5">
        <v>43949</v>
      </c>
      <c r="B10" s="6" t="s">
        <v>23</v>
      </c>
      <c r="C10" s="6">
        <v>15</v>
      </c>
      <c r="D10" s="6">
        <v>636</v>
      </c>
      <c r="E10" s="6">
        <v>547</v>
      </c>
    </row>
    <row r="11" ht="14.25" customHeight="1" spans="1:5">
      <c r="A11" s="5">
        <v>43949</v>
      </c>
      <c r="B11" s="6" t="s">
        <v>18</v>
      </c>
      <c r="C11" s="6">
        <v>15</v>
      </c>
      <c r="D11" s="6">
        <v>780</v>
      </c>
      <c r="E11" s="6">
        <v>690</v>
      </c>
    </row>
    <row r="12" ht="14.25" customHeight="1" spans="1:5">
      <c r="A12" s="5">
        <v>43949</v>
      </c>
      <c r="B12" s="6" t="s">
        <v>15</v>
      </c>
      <c r="C12" s="6">
        <v>125</v>
      </c>
      <c r="D12" s="6">
        <v>20914</v>
      </c>
      <c r="E12" s="6">
        <v>19479</v>
      </c>
    </row>
    <row r="13" ht="14.25" customHeight="1" spans="1:5">
      <c r="A13" s="5">
        <v>43949</v>
      </c>
      <c r="B13" s="6" t="s">
        <v>14</v>
      </c>
      <c r="C13" s="6">
        <v>128</v>
      </c>
      <c r="D13" s="6">
        <v>16450</v>
      </c>
      <c r="E13" s="6">
        <v>15320</v>
      </c>
    </row>
    <row r="14" ht="14.25" customHeight="1" spans="1:5">
      <c r="A14" s="5">
        <v>43949</v>
      </c>
      <c r="B14" s="6" t="s">
        <v>12</v>
      </c>
      <c r="C14" s="6">
        <v>10</v>
      </c>
      <c r="D14" s="6">
        <v>580</v>
      </c>
      <c r="E14" s="6">
        <v>506</v>
      </c>
    </row>
    <row r="15" ht="14.25" customHeight="1" spans="1:5">
      <c r="A15" s="5">
        <v>43950</v>
      </c>
      <c r="B15" s="6" t="s">
        <v>16</v>
      </c>
      <c r="C15" s="6">
        <v>36</v>
      </c>
      <c r="D15" s="6">
        <v>4937</v>
      </c>
      <c r="E15" s="6">
        <v>4561</v>
      </c>
    </row>
    <row r="16" ht="14.25" customHeight="1" spans="1:5">
      <c r="A16" s="5">
        <v>43950</v>
      </c>
      <c r="B16" s="6" t="s">
        <v>11</v>
      </c>
      <c r="C16" s="6">
        <v>31</v>
      </c>
      <c r="D16" s="6">
        <v>5378</v>
      </c>
      <c r="E16" s="6">
        <v>4985</v>
      </c>
    </row>
    <row r="17" ht="14.25" customHeight="1" spans="1:5">
      <c r="A17" s="5">
        <v>43950</v>
      </c>
      <c r="B17" s="6" t="s">
        <v>17</v>
      </c>
      <c r="C17" s="6">
        <v>19</v>
      </c>
      <c r="D17" s="6">
        <v>1676</v>
      </c>
      <c r="E17" s="6">
        <v>1516</v>
      </c>
    </row>
    <row r="18" ht="14.25" customHeight="1" spans="1:5">
      <c r="A18" s="5">
        <v>43950</v>
      </c>
      <c r="B18" s="6" t="s">
        <v>10</v>
      </c>
      <c r="C18" s="6">
        <v>18</v>
      </c>
      <c r="D18" s="6">
        <v>1684</v>
      </c>
      <c r="E18" s="6">
        <v>1528</v>
      </c>
    </row>
    <row r="19" ht="14.25" customHeight="1" spans="1:5">
      <c r="A19" s="5">
        <v>43950</v>
      </c>
      <c r="B19" s="6" t="s">
        <v>20</v>
      </c>
      <c r="C19" s="6">
        <v>18</v>
      </c>
      <c r="D19" s="6">
        <v>1599</v>
      </c>
      <c r="E19" s="6">
        <v>1450</v>
      </c>
    </row>
    <row r="20" ht="14.25" customHeight="1" spans="1:5">
      <c r="A20" s="5">
        <v>43950</v>
      </c>
      <c r="B20" s="6" t="s">
        <v>22</v>
      </c>
      <c r="C20" s="6">
        <v>54</v>
      </c>
      <c r="D20" s="6">
        <v>12747</v>
      </c>
      <c r="E20" s="6">
        <v>11884</v>
      </c>
    </row>
    <row r="21" ht="14.25" customHeight="1" spans="1:5">
      <c r="A21" s="5">
        <v>43950</v>
      </c>
      <c r="B21" s="6" t="s">
        <v>21</v>
      </c>
      <c r="C21" s="6">
        <v>59</v>
      </c>
      <c r="D21" s="6">
        <v>13186</v>
      </c>
      <c r="E21" s="6">
        <v>12251</v>
      </c>
    </row>
    <row r="22" ht="14.25" customHeight="1" spans="1:5">
      <c r="A22" s="5">
        <v>43950</v>
      </c>
      <c r="B22" s="6" t="s">
        <v>13</v>
      </c>
      <c r="C22" s="6">
        <v>18</v>
      </c>
      <c r="D22" s="6">
        <v>1534</v>
      </c>
      <c r="E22" s="6">
        <v>1369</v>
      </c>
    </row>
    <row r="23" ht="14.25" customHeight="1" spans="1:5">
      <c r="A23" s="5">
        <v>43950</v>
      </c>
      <c r="B23" s="6" t="s">
        <v>23</v>
      </c>
      <c r="C23" s="6">
        <v>15</v>
      </c>
      <c r="D23" s="6">
        <v>659</v>
      </c>
      <c r="E23" s="6">
        <v>575</v>
      </c>
    </row>
    <row r="24" ht="14.25" customHeight="1" spans="1:5">
      <c r="A24" s="5">
        <v>43950</v>
      </c>
      <c r="B24" s="6" t="s">
        <v>18</v>
      </c>
      <c r="C24" s="6">
        <v>15</v>
      </c>
      <c r="D24" s="6">
        <v>786</v>
      </c>
      <c r="E24" s="6">
        <v>695</v>
      </c>
    </row>
    <row r="25" ht="14.25" customHeight="1" spans="1:5">
      <c r="A25" s="5">
        <v>43950</v>
      </c>
      <c r="B25" s="6" t="s">
        <v>15</v>
      </c>
      <c r="C25" s="6">
        <v>125</v>
      </c>
      <c r="D25" s="6">
        <v>21863</v>
      </c>
      <c r="E25" s="6">
        <v>20160</v>
      </c>
    </row>
    <row r="26" ht="14.25" customHeight="1" spans="1:5">
      <c r="A26" s="5">
        <v>43950</v>
      </c>
      <c r="B26" s="6" t="s">
        <v>14</v>
      </c>
      <c r="C26" s="6">
        <v>128</v>
      </c>
      <c r="D26" s="6">
        <v>17368</v>
      </c>
      <c r="E26" s="6">
        <v>16077</v>
      </c>
    </row>
    <row r="27" ht="14.25" customHeight="1" spans="1:5">
      <c r="A27" s="5">
        <v>43950</v>
      </c>
      <c r="B27" s="6" t="s">
        <v>12</v>
      </c>
      <c r="C27" s="6">
        <v>10</v>
      </c>
      <c r="D27" s="6">
        <v>502</v>
      </c>
      <c r="E27" s="6">
        <v>433</v>
      </c>
    </row>
    <row r="28" ht="14.25" customHeight="1" spans="1:5">
      <c r="A28" s="5">
        <v>43951</v>
      </c>
      <c r="B28" s="6" t="s">
        <v>16</v>
      </c>
      <c r="C28" s="6">
        <v>36</v>
      </c>
      <c r="D28" s="6">
        <v>5143</v>
      </c>
      <c r="E28" s="6">
        <v>4715</v>
      </c>
    </row>
    <row r="29" ht="14.25" customHeight="1" spans="1:5">
      <c r="A29" s="5">
        <v>43951</v>
      </c>
      <c r="B29" s="6" t="s">
        <v>11</v>
      </c>
      <c r="C29" s="6">
        <v>31</v>
      </c>
      <c r="D29" s="6">
        <v>5120</v>
      </c>
      <c r="E29" s="6">
        <v>4737</v>
      </c>
    </row>
    <row r="30" ht="14.25" customHeight="1" spans="1:5">
      <c r="A30" s="5">
        <v>43951</v>
      </c>
      <c r="B30" s="6" t="s">
        <v>17</v>
      </c>
      <c r="C30" s="6">
        <v>20</v>
      </c>
      <c r="D30" s="6">
        <v>1756</v>
      </c>
      <c r="E30" s="6">
        <v>1586</v>
      </c>
    </row>
    <row r="31" ht="14.25" customHeight="1" spans="1:5">
      <c r="A31" s="5">
        <v>43951</v>
      </c>
      <c r="B31" s="6" t="s">
        <v>10</v>
      </c>
      <c r="C31" s="6">
        <v>19</v>
      </c>
      <c r="D31" s="6">
        <v>1712</v>
      </c>
      <c r="E31" s="6">
        <v>1552</v>
      </c>
    </row>
    <row r="32" ht="14.25" customHeight="1" spans="1:5">
      <c r="A32" s="5">
        <v>43951</v>
      </c>
      <c r="B32" s="6" t="s">
        <v>20</v>
      </c>
      <c r="C32" s="6">
        <v>19</v>
      </c>
      <c r="D32" s="6">
        <v>1662</v>
      </c>
      <c r="E32" s="6">
        <v>1506</v>
      </c>
    </row>
    <row r="33" ht="14.25" customHeight="1" spans="1:5">
      <c r="A33" s="5">
        <v>43951</v>
      </c>
      <c r="B33" s="6" t="s">
        <v>22</v>
      </c>
      <c r="C33" s="6">
        <v>54</v>
      </c>
      <c r="D33" s="6">
        <v>12817</v>
      </c>
      <c r="E33" s="6">
        <v>11865</v>
      </c>
    </row>
    <row r="34" ht="14.25" customHeight="1" spans="1:5">
      <c r="A34" s="5">
        <v>43951</v>
      </c>
      <c r="B34" s="6" t="s">
        <v>21</v>
      </c>
      <c r="C34" s="6">
        <v>59</v>
      </c>
      <c r="D34" s="6">
        <v>13251</v>
      </c>
      <c r="E34" s="6">
        <v>12255</v>
      </c>
    </row>
    <row r="35" ht="14.25" customHeight="1" spans="1:5">
      <c r="A35" s="5">
        <v>43951</v>
      </c>
      <c r="B35" s="6" t="s">
        <v>13</v>
      </c>
      <c r="C35" s="6">
        <v>19</v>
      </c>
      <c r="D35" s="6">
        <v>1499</v>
      </c>
      <c r="E35" s="6">
        <v>1322</v>
      </c>
    </row>
    <row r="36" ht="14.25" customHeight="1" spans="1:5">
      <c r="A36" s="5">
        <v>43951</v>
      </c>
      <c r="B36" s="6" t="s">
        <v>23</v>
      </c>
      <c r="C36" s="6">
        <v>15</v>
      </c>
      <c r="D36" s="6">
        <v>644</v>
      </c>
      <c r="E36" s="6">
        <v>550</v>
      </c>
    </row>
    <row r="37" ht="14.25" customHeight="1" spans="1:5">
      <c r="A37" s="5">
        <v>43951</v>
      </c>
      <c r="B37" s="6" t="s">
        <v>18</v>
      </c>
      <c r="C37" s="6">
        <v>15</v>
      </c>
      <c r="D37" s="6">
        <v>791</v>
      </c>
      <c r="E37" s="6">
        <v>691</v>
      </c>
    </row>
    <row r="38" ht="14.25" customHeight="1" spans="1:5">
      <c r="A38" s="5">
        <v>43951</v>
      </c>
      <c r="B38" s="6" t="s">
        <v>19</v>
      </c>
      <c r="C38" s="6">
        <v>15</v>
      </c>
      <c r="D38" s="6">
        <v>262</v>
      </c>
      <c r="E38" s="6">
        <v>195</v>
      </c>
    </row>
    <row r="39" ht="14.25" customHeight="1" spans="1:5">
      <c r="A39" s="5">
        <v>43951</v>
      </c>
      <c r="B39" s="6" t="s">
        <v>15</v>
      </c>
      <c r="C39" s="6">
        <v>125</v>
      </c>
      <c r="D39" s="6">
        <v>22368</v>
      </c>
      <c r="E39" s="6">
        <v>20625</v>
      </c>
    </row>
    <row r="40" ht="14.25" customHeight="1" spans="1:5">
      <c r="A40" s="5">
        <v>43951</v>
      </c>
      <c r="B40" s="6" t="s">
        <v>14</v>
      </c>
      <c r="C40" s="6">
        <v>129</v>
      </c>
      <c r="D40" s="6">
        <v>18042</v>
      </c>
      <c r="E40" s="6">
        <v>16631</v>
      </c>
    </row>
    <row r="41" ht="14.25" customHeight="1" spans="1:5">
      <c r="A41" s="5">
        <v>43951</v>
      </c>
      <c r="B41" s="6" t="s">
        <v>12</v>
      </c>
      <c r="C41" s="6">
        <v>10</v>
      </c>
      <c r="D41" s="6">
        <v>448</v>
      </c>
      <c r="E41" s="6">
        <v>376</v>
      </c>
    </row>
    <row r="42" ht="14.25" customHeight="1" spans="1:5">
      <c r="A42" s="5">
        <v>43952</v>
      </c>
      <c r="B42" s="6" t="s">
        <v>16</v>
      </c>
      <c r="C42" s="6">
        <v>36</v>
      </c>
      <c r="D42" s="6">
        <v>5457</v>
      </c>
      <c r="E42" s="6">
        <v>4916</v>
      </c>
    </row>
    <row r="43" ht="14.25" customHeight="1" spans="1:5">
      <c r="A43" s="5">
        <v>43952</v>
      </c>
      <c r="B43" s="6" t="s">
        <v>11</v>
      </c>
      <c r="C43" s="6">
        <v>31</v>
      </c>
      <c r="D43" s="6">
        <v>6118</v>
      </c>
      <c r="E43" s="6">
        <v>5564</v>
      </c>
    </row>
    <row r="44" ht="14.25" customHeight="1" spans="1:5">
      <c r="A44" s="5">
        <v>43952</v>
      </c>
      <c r="B44" s="6" t="s">
        <v>17</v>
      </c>
      <c r="C44" s="6">
        <v>20</v>
      </c>
      <c r="D44" s="6">
        <v>2468</v>
      </c>
      <c r="E44" s="6">
        <v>2221</v>
      </c>
    </row>
    <row r="45" ht="14.25" customHeight="1" spans="1:5">
      <c r="A45" s="5">
        <v>43952</v>
      </c>
      <c r="B45" s="6" t="s">
        <v>10</v>
      </c>
      <c r="C45" s="6">
        <v>18</v>
      </c>
      <c r="D45" s="6">
        <v>1826</v>
      </c>
      <c r="E45" s="6">
        <v>1633</v>
      </c>
    </row>
    <row r="46" ht="14.25" customHeight="1" spans="1:5">
      <c r="A46" s="5">
        <v>43952</v>
      </c>
      <c r="B46" s="6" t="s">
        <v>20</v>
      </c>
      <c r="C46" s="6">
        <v>19</v>
      </c>
      <c r="D46" s="6">
        <v>1987</v>
      </c>
      <c r="E46" s="6">
        <v>1791</v>
      </c>
    </row>
    <row r="47" ht="14.25" customHeight="1" spans="1:5">
      <c r="A47" s="5">
        <v>43952</v>
      </c>
      <c r="B47" s="6" t="s">
        <v>22</v>
      </c>
      <c r="C47" s="6">
        <v>54</v>
      </c>
      <c r="D47" s="6">
        <v>14205</v>
      </c>
      <c r="E47" s="6">
        <v>13026</v>
      </c>
    </row>
    <row r="48" ht="14.25" customHeight="1" spans="1:5">
      <c r="A48" s="5">
        <v>43952</v>
      </c>
      <c r="B48" s="6" t="s">
        <v>21</v>
      </c>
      <c r="C48" s="6">
        <v>59</v>
      </c>
      <c r="D48" s="6">
        <v>15222</v>
      </c>
      <c r="E48" s="6">
        <v>13873</v>
      </c>
    </row>
    <row r="49" ht="14.25" customHeight="1" spans="1:5">
      <c r="A49" s="5">
        <v>43952</v>
      </c>
      <c r="B49" s="6" t="s">
        <v>13</v>
      </c>
      <c r="C49" s="6">
        <v>19</v>
      </c>
      <c r="D49" s="6">
        <v>1497</v>
      </c>
      <c r="E49" s="6">
        <v>1291</v>
      </c>
    </row>
    <row r="50" ht="14.25" customHeight="1" spans="1:5">
      <c r="A50" s="5">
        <v>43952</v>
      </c>
      <c r="B50" s="6" t="s">
        <v>23</v>
      </c>
      <c r="C50" s="6">
        <v>15</v>
      </c>
      <c r="D50" s="6">
        <v>721</v>
      </c>
      <c r="E50" s="6">
        <v>625</v>
      </c>
    </row>
    <row r="51" ht="14.25" customHeight="1" spans="1:5">
      <c r="A51" s="5">
        <v>43952</v>
      </c>
      <c r="B51" s="6" t="s">
        <v>18</v>
      </c>
      <c r="C51" s="6">
        <v>15</v>
      </c>
      <c r="D51" s="6">
        <v>996</v>
      </c>
      <c r="E51" s="6">
        <v>888</v>
      </c>
    </row>
    <row r="52" ht="14.25" customHeight="1" spans="1:5">
      <c r="A52" s="5">
        <v>43952</v>
      </c>
      <c r="B52" s="6" t="s">
        <v>19</v>
      </c>
      <c r="C52" s="6">
        <v>15</v>
      </c>
      <c r="D52" s="6">
        <v>294</v>
      </c>
      <c r="E52" s="6">
        <v>225</v>
      </c>
    </row>
    <row r="53" ht="14.25" customHeight="1" spans="1:5">
      <c r="A53" s="5">
        <v>43952</v>
      </c>
      <c r="B53" s="6" t="s">
        <v>15</v>
      </c>
      <c r="C53" s="6">
        <v>125</v>
      </c>
      <c r="D53" s="6">
        <v>20602</v>
      </c>
      <c r="E53" s="6">
        <v>18845</v>
      </c>
    </row>
    <row r="54" ht="14.25" customHeight="1" spans="1:5">
      <c r="A54" s="5">
        <v>43952</v>
      </c>
      <c r="B54" s="6" t="s">
        <v>14</v>
      </c>
      <c r="C54" s="6">
        <v>129</v>
      </c>
      <c r="D54" s="6">
        <v>17002</v>
      </c>
      <c r="E54" s="6">
        <v>15570</v>
      </c>
    </row>
    <row r="55" ht="14.25" customHeight="1" spans="1:5">
      <c r="A55" s="5">
        <v>43952</v>
      </c>
      <c r="B55" s="6" t="s">
        <v>12</v>
      </c>
      <c r="C55" s="6">
        <v>10</v>
      </c>
      <c r="D55" s="6">
        <v>554</v>
      </c>
      <c r="E55" s="6">
        <v>472</v>
      </c>
    </row>
    <row r="56" ht="14.25" customHeight="1" spans="1:5">
      <c r="A56" s="5">
        <v>43953</v>
      </c>
      <c r="B56" s="6" t="s">
        <v>16</v>
      </c>
      <c r="C56" s="6">
        <v>36</v>
      </c>
      <c r="D56" s="6">
        <v>3442</v>
      </c>
      <c r="E56" s="6">
        <v>3147</v>
      </c>
    </row>
    <row r="57" ht="14.25" customHeight="1" spans="1:5">
      <c r="A57" s="5">
        <v>43953</v>
      </c>
      <c r="B57" s="6" t="s">
        <v>11</v>
      </c>
      <c r="C57" s="6">
        <v>31</v>
      </c>
      <c r="D57" s="6">
        <v>4157</v>
      </c>
      <c r="E57" s="6">
        <v>3823</v>
      </c>
    </row>
    <row r="58" ht="14.25" customHeight="1" spans="1:5">
      <c r="A58" s="5">
        <v>43953</v>
      </c>
      <c r="B58" s="6" t="s">
        <v>17</v>
      </c>
      <c r="C58" s="6">
        <v>20</v>
      </c>
      <c r="D58" s="6">
        <v>1613</v>
      </c>
      <c r="E58" s="6">
        <v>1457</v>
      </c>
    </row>
    <row r="59" ht="14.25" customHeight="1" spans="1:5">
      <c r="A59" s="5">
        <v>43953</v>
      </c>
      <c r="B59" s="6" t="s">
        <v>10</v>
      </c>
      <c r="C59" s="6">
        <v>18</v>
      </c>
      <c r="D59" s="6">
        <v>1708</v>
      </c>
      <c r="E59" s="6">
        <v>1534</v>
      </c>
    </row>
    <row r="60" ht="14.25" customHeight="1" spans="1:5">
      <c r="A60" s="5">
        <v>43953</v>
      </c>
      <c r="B60" s="6" t="s">
        <v>20</v>
      </c>
      <c r="C60" s="6">
        <v>19</v>
      </c>
      <c r="D60" s="6">
        <v>1206</v>
      </c>
      <c r="E60" s="6">
        <v>1080</v>
      </c>
    </row>
    <row r="61" ht="14.25" customHeight="1" spans="1:5">
      <c r="A61" s="5">
        <v>43953</v>
      </c>
      <c r="B61" s="6" t="s">
        <v>22</v>
      </c>
      <c r="C61" s="6">
        <v>54</v>
      </c>
      <c r="D61" s="6">
        <v>11622</v>
      </c>
      <c r="E61" s="6">
        <v>10754</v>
      </c>
    </row>
    <row r="62" ht="14.25" customHeight="1" spans="1:5">
      <c r="A62" s="5">
        <v>43953</v>
      </c>
      <c r="B62" s="6" t="s">
        <v>21</v>
      </c>
      <c r="C62" s="6">
        <v>59</v>
      </c>
      <c r="D62" s="6">
        <v>12429</v>
      </c>
      <c r="E62" s="6">
        <v>11477</v>
      </c>
    </row>
    <row r="63" ht="14.25" customHeight="1" spans="1:5">
      <c r="A63" s="5">
        <v>43953</v>
      </c>
      <c r="B63" s="6" t="s">
        <v>13</v>
      </c>
      <c r="C63" s="6">
        <v>19</v>
      </c>
      <c r="D63" s="6">
        <v>1217</v>
      </c>
      <c r="E63" s="6">
        <v>1048</v>
      </c>
    </row>
    <row r="64" ht="14.25" customHeight="1" spans="1:5">
      <c r="A64" s="5">
        <v>43953</v>
      </c>
      <c r="B64" s="6" t="s">
        <v>23</v>
      </c>
      <c r="C64" s="6">
        <v>15</v>
      </c>
      <c r="D64" s="6">
        <v>567</v>
      </c>
      <c r="E64" s="6">
        <v>493</v>
      </c>
    </row>
    <row r="65" ht="14.25" customHeight="1" spans="1:5">
      <c r="A65" s="5">
        <v>43953</v>
      </c>
      <c r="B65" s="6" t="s">
        <v>18</v>
      </c>
      <c r="C65" s="6">
        <v>15</v>
      </c>
      <c r="D65" s="6">
        <v>751</v>
      </c>
      <c r="E65" s="6">
        <v>651</v>
      </c>
    </row>
    <row r="66" ht="14.25" customHeight="1" spans="1:5">
      <c r="A66" s="5">
        <v>43953</v>
      </c>
      <c r="B66" s="6" t="s">
        <v>19</v>
      </c>
      <c r="C66" s="6">
        <v>15</v>
      </c>
      <c r="D66" s="6">
        <v>274</v>
      </c>
      <c r="E66" s="6">
        <v>203</v>
      </c>
    </row>
    <row r="67" ht="14.25" customHeight="1" spans="1:5">
      <c r="A67" s="5">
        <v>43953</v>
      </c>
      <c r="B67" s="6" t="s">
        <v>15</v>
      </c>
      <c r="C67" s="6">
        <v>125</v>
      </c>
      <c r="D67" s="6">
        <v>16932</v>
      </c>
      <c r="E67" s="6">
        <v>15601</v>
      </c>
    </row>
    <row r="68" ht="14.25" customHeight="1" spans="1:5">
      <c r="A68" s="5">
        <v>43953</v>
      </c>
      <c r="B68" s="6" t="s">
        <v>14</v>
      </c>
      <c r="C68" s="6">
        <v>129</v>
      </c>
      <c r="D68" s="6">
        <v>14009</v>
      </c>
      <c r="E68" s="6">
        <v>12920</v>
      </c>
    </row>
    <row r="69" ht="14.25" customHeight="1" spans="1:5">
      <c r="A69" s="5">
        <v>43953</v>
      </c>
      <c r="B69" s="6" t="s">
        <v>12</v>
      </c>
      <c r="C69" s="6">
        <v>10</v>
      </c>
      <c r="D69" s="6">
        <v>416</v>
      </c>
      <c r="E69" s="6">
        <v>341</v>
      </c>
    </row>
    <row r="70" ht="14.25" customHeight="1" spans="1:5">
      <c r="A70" s="5">
        <v>43954</v>
      </c>
      <c r="B70" s="6" t="s">
        <v>16</v>
      </c>
      <c r="C70" s="6">
        <v>36</v>
      </c>
      <c r="D70" s="6">
        <v>4751</v>
      </c>
      <c r="E70" s="6">
        <v>4370</v>
      </c>
    </row>
    <row r="71" ht="14.25" customHeight="1" spans="1:5">
      <c r="A71" s="5">
        <v>43954</v>
      </c>
      <c r="B71" s="6" t="s">
        <v>11</v>
      </c>
      <c r="C71" s="6">
        <v>31</v>
      </c>
      <c r="D71" s="6">
        <v>5155</v>
      </c>
      <c r="E71" s="6">
        <v>4762</v>
      </c>
    </row>
    <row r="72" ht="14.25" customHeight="1" spans="1:5">
      <c r="A72" s="5">
        <v>43954</v>
      </c>
      <c r="B72" s="6" t="s">
        <v>17</v>
      </c>
      <c r="C72" s="6">
        <v>20</v>
      </c>
      <c r="D72" s="6">
        <v>1716</v>
      </c>
      <c r="E72" s="6">
        <v>1561</v>
      </c>
    </row>
    <row r="73" ht="14.25" customHeight="1" spans="1:5">
      <c r="A73" s="5">
        <v>43954</v>
      </c>
      <c r="B73" s="6" t="s">
        <v>10</v>
      </c>
      <c r="C73" s="6">
        <v>20</v>
      </c>
      <c r="D73" s="6">
        <v>1520</v>
      </c>
      <c r="E73" s="6">
        <v>1373</v>
      </c>
    </row>
    <row r="74" ht="14.25" customHeight="1" spans="1:5">
      <c r="A74" s="5">
        <v>43954</v>
      </c>
      <c r="B74" s="6" t="s">
        <v>20</v>
      </c>
      <c r="C74" s="6">
        <v>19</v>
      </c>
      <c r="D74" s="6">
        <v>1314</v>
      </c>
      <c r="E74" s="6">
        <v>1192</v>
      </c>
    </row>
    <row r="75" ht="14.25" customHeight="1" spans="1:5">
      <c r="A75" s="5">
        <v>43954</v>
      </c>
      <c r="B75" s="6" t="s">
        <v>22</v>
      </c>
      <c r="C75" s="6">
        <v>54</v>
      </c>
      <c r="D75" s="6">
        <v>14823</v>
      </c>
      <c r="E75" s="6">
        <v>13751</v>
      </c>
    </row>
    <row r="76" ht="14.25" customHeight="1" spans="1:5">
      <c r="A76" s="5">
        <v>43954</v>
      </c>
      <c r="B76" s="6" t="s">
        <v>21</v>
      </c>
      <c r="C76" s="6">
        <v>59</v>
      </c>
      <c r="D76" s="6">
        <v>15277</v>
      </c>
      <c r="E76" s="6">
        <v>14163</v>
      </c>
    </row>
    <row r="77" ht="14.25" customHeight="1" spans="1:5">
      <c r="A77" s="5">
        <v>43954</v>
      </c>
      <c r="B77" s="6" t="s">
        <v>13</v>
      </c>
      <c r="C77" s="6">
        <v>19</v>
      </c>
      <c r="D77" s="6">
        <v>1402</v>
      </c>
      <c r="E77" s="6">
        <v>1234</v>
      </c>
    </row>
    <row r="78" ht="14.25" customHeight="1" spans="1:5">
      <c r="A78" s="5">
        <v>43954</v>
      </c>
      <c r="B78" s="6" t="s">
        <v>23</v>
      </c>
      <c r="C78" s="6">
        <v>15</v>
      </c>
      <c r="D78" s="6">
        <v>585</v>
      </c>
      <c r="E78" s="6">
        <v>502</v>
      </c>
    </row>
    <row r="79" ht="14.25" customHeight="1" spans="1:5">
      <c r="A79" s="5">
        <v>43954</v>
      </c>
      <c r="B79" s="6" t="s">
        <v>18</v>
      </c>
      <c r="C79" s="6">
        <v>15</v>
      </c>
      <c r="D79" s="6">
        <v>784</v>
      </c>
      <c r="E79" s="6">
        <v>696</v>
      </c>
    </row>
    <row r="80" ht="14.25" customHeight="1" spans="1:5">
      <c r="A80" s="5">
        <v>43954</v>
      </c>
      <c r="B80" s="6" t="s">
        <v>19</v>
      </c>
      <c r="C80" s="6">
        <v>15</v>
      </c>
      <c r="D80" s="6">
        <v>455</v>
      </c>
      <c r="E80" s="6">
        <v>384</v>
      </c>
    </row>
    <row r="81" ht="14.25" customHeight="1" spans="1:5">
      <c r="A81" s="5">
        <v>43954</v>
      </c>
      <c r="B81" s="6" t="s">
        <v>15</v>
      </c>
      <c r="C81" s="6">
        <v>125</v>
      </c>
      <c r="D81" s="6">
        <v>18861</v>
      </c>
      <c r="E81" s="6">
        <v>17420</v>
      </c>
    </row>
    <row r="82" ht="14.25" customHeight="1" spans="1:5">
      <c r="A82" s="5">
        <v>43954</v>
      </c>
      <c r="B82" s="6" t="s">
        <v>14</v>
      </c>
      <c r="C82" s="6">
        <v>129</v>
      </c>
      <c r="D82" s="6">
        <v>15778</v>
      </c>
      <c r="E82" s="6">
        <v>14624</v>
      </c>
    </row>
    <row r="83" ht="14.25" customHeight="1" spans="1:5">
      <c r="A83" s="5">
        <v>43954</v>
      </c>
      <c r="B83" s="6" t="s">
        <v>12</v>
      </c>
      <c r="C83" s="6">
        <v>10</v>
      </c>
      <c r="D83" s="6">
        <v>402</v>
      </c>
      <c r="E83" s="6">
        <v>333</v>
      </c>
    </row>
    <row r="84" ht="14.25" customHeight="1" spans="1:5">
      <c r="A84" s="5">
        <v>43955</v>
      </c>
      <c r="B84" s="6" t="s">
        <v>16</v>
      </c>
      <c r="C84" s="6">
        <v>36</v>
      </c>
      <c r="D84" s="6">
        <v>4508</v>
      </c>
      <c r="E84" s="6">
        <v>4149</v>
      </c>
    </row>
    <row r="85" ht="14.25" customHeight="1" spans="1:5">
      <c r="A85" s="5">
        <v>43955</v>
      </c>
      <c r="B85" s="6" t="s">
        <v>11</v>
      </c>
      <c r="C85" s="6">
        <v>31</v>
      </c>
      <c r="D85" s="6">
        <v>4968</v>
      </c>
      <c r="E85" s="6">
        <v>4596</v>
      </c>
    </row>
    <row r="86" ht="14.25" customHeight="1" spans="1:5">
      <c r="A86" s="5">
        <v>43955</v>
      </c>
      <c r="B86" s="6" t="s">
        <v>17</v>
      </c>
      <c r="C86" s="6">
        <v>20</v>
      </c>
      <c r="D86" s="6">
        <v>1804</v>
      </c>
      <c r="E86" s="6">
        <v>1638</v>
      </c>
    </row>
    <row r="87" ht="14.25" customHeight="1" spans="1:5">
      <c r="A87" s="5">
        <v>43955</v>
      </c>
      <c r="B87" s="6" t="s">
        <v>10</v>
      </c>
      <c r="C87" s="6">
        <v>20</v>
      </c>
      <c r="D87" s="6">
        <v>1519</v>
      </c>
      <c r="E87" s="6">
        <v>1372</v>
      </c>
    </row>
    <row r="88" ht="14.25" customHeight="1" spans="1:5">
      <c r="A88" s="5">
        <v>43955</v>
      </c>
      <c r="B88" s="6" t="s">
        <v>20</v>
      </c>
      <c r="C88" s="6">
        <v>19</v>
      </c>
      <c r="D88" s="6">
        <v>1479</v>
      </c>
      <c r="E88" s="6">
        <v>1346</v>
      </c>
    </row>
    <row r="89" ht="14.25" customHeight="1" spans="1:5">
      <c r="A89" s="5">
        <v>43955</v>
      </c>
      <c r="B89" s="6" t="s">
        <v>22</v>
      </c>
      <c r="C89" s="6">
        <v>54</v>
      </c>
      <c r="D89" s="6">
        <v>13606</v>
      </c>
      <c r="E89" s="6">
        <v>12697</v>
      </c>
    </row>
    <row r="90" ht="14.25" customHeight="1" spans="1:5">
      <c r="A90" s="5">
        <v>43955</v>
      </c>
      <c r="B90" s="6" t="s">
        <v>21</v>
      </c>
      <c r="C90" s="6">
        <v>59</v>
      </c>
      <c r="D90" s="6">
        <v>14423</v>
      </c>
      <c r="E90" s="6">
        <v>13432</v>
      </c>
    </row>
    <row r="91" ht="14.25" customHeight="1" spans="1:5">
      <c r="A91" s="5">
        <v>43955</v>
      </c>
      <c r="B91" s="6" t="s">
        <v>13</v>
      </c>
      <c r="C91" s="6">
        <v>19</v>
      </c>
      <c r="D91" s="6">
        <v>1582</v>
      </c>
      <c r="E91" s="6">
        <v>1403</v>
      </c>
    </row>
    <row r="92" ht="14.25" customHeight="1" spans="1:5">
      <c r="A92" s="5">
        <v>43955</v>
      </c>
      <c r="B92" s="6" t="s">
        <v>23</v>
      </c>
      <c r="C92" s="6">
        <v>15</v>
      </c>
      <c r="D92" s="6">
        <v>622</v>
      </c>
      <c r="E92" s="6">
        <v>538</v>
      </c>
    </row>
    <row r="93" ht="14.25" customHeight="1" spans="1:5">
      <c r="A93" s="5">
        <v>43955</v>
      </c>
      <c r="B93" s="6" t="s">
        <v>18</v>
      </c>
      <c r="C93" s="6">
        <v>15</v>
      </c>
      <c r="D93" s="6">
        <v>750</v>
      </c>
      <c r="E93" s="6">
        <v>647</v>
      </c>
    </row>
    <row r="94" ht="14.25" customHeight="1" spans="1:5">
      <c r="A94" s="5">
        <v>43955</v>
      </c>
      <c r="B94" s="6" t="s">
        <v>19</v>
      </c>
      <c r="C94" s="6">
        <v>15</v>
      </c>
      <c r="D94" s="6">
        <v>390</v>
      </c>
      <c r="E94" s="6">
        <v>315</v>
      </c>
    </row>
    <row r="95" ht="14.25" customHeight="1" spans="1:5">
      <c r="A95" s="5">
        <v>43955</v>
      </c>
      <c r="B95" s="6" t="s">
        <v>15</v>
      </c>
      <c r="C95" s="6">
        <v>125</v>
      </c>
      <c r="D95" s="6">
        <v>20495</v>
      </c>
      <c r="E95" s="6">
        <v>18964</v>
      </c>
    </row>
    <row r="96" ht="14.25" customHeight="1" spans="1:5">
      <c r="A96" s="5">
        <v>43955</v>
      </c>
      <c r="B96" s="6" t="s">
        <v>14</v>
      </c>
      <c r="C96" s="6">
        <v>129</v>
      </c>
      <c r="D96" s="6">
        <v>16525</v>
      </c>
      <c r="E96" s="6">
        <v>15310</v>
      </c>
    </row>
    <row r="97" ht="14.25" customHeight="1" spans="1:5">
      <c r="A97" s="5">
        <v>43955</v>
      </c>
      <c r="B97" s="6" t="s">
        <v>12</v>
      </c>
      <c r="C97" s="6">
        <v>10</v>
      </c>
      <c r="D97" s="6">
        <v>462</v>
      </c>
      <c r="E97" s="6">
        <v>396</v>
      </c>
    </row>
    <row r="98" ht="14.25" customHeight="1" spans="1:5">
      <c r="A98" s="5">
        <v>43956</v>
      </c>
      <c r="B98" s="6" t="s">
        <v>16</v>
      </c>
      <c r="C98" s="6">
        <v>36</v>
      </c>
      <c r="D98" s="6">
        <v>4575</v>
      </c>
      <c r="E98" s="6">
        <v>4206</v>
      </c>
    </row>
    <row r="99" ht="14.25" customHeight="1" spans="1:5">
      <c r="A99" s="5">
        <v>43956</v>
      </c>
      <c r="B99" s="6" t="s">
        <v>11</v>
      </c>
      <c r="C99" s="6">
        <v>31</v>
      </c>
      <c r="D99" s="6">
        <v>5188</v>
      </c>
      <c r="E99" s="6">
        <v>4800</v>
      </c>
    </row>
    <row r="100" ht="14.25" customHeight="1" spans="1:5">
      <c r="A100" s="5">
        <v>43956</v>
      </c>
      <c r="B100" s="6" t="s">
        <v>17</v>
      </c>
      <c r="C100" s="6">
        <v>20</v>
      </c>
      <c r="D100" s="6">
        <v>1757</v>
      </c>
      <c r="E100" s="6">
        <v>1596</v>
      </c>
    </row>
    <row r="101" ht="14.25" customHeight="1" spans="1:5">
      <c r="A101" s="5">
        <v>43956</v>
      </c>
      <c r="B101" s="6" t="s">
        <v>10</v>
      </c>
      <c r="C101" s="6">
        <v>20</v>
      </c>
      <c r="D101" s="6">
        <v>1773</v>
      </c>
      <c r="E101" s="6">
        <v>1604</v>
      </c>
    </row>
    <row r="102" ht="14.25" customHeight="1" spans="1:5">
      <c r="A102" s="5">
        <v>43956</v>
      </c>
      <c r="B102" s="6" t="s">
        <v>20</v>
      </c>
      <c r="C102" s="6">
        <v>19</v>
      </c>
      <c r="D102" s="6">
        <v>1622</v>
      </c>
      <c r="E102" s="6">
        <v>1482</v>
      </c>
    </row>
    <row r="103" ht="14.25" customHeight="1" spans="1:5">
      <c r="A103" s="5">
        <v>43956</v>
      </c>
      <c r="B103" s="6" t="s">
        <v>22</v>
      </c>
      <c r="C103" s="6">
        <v>54</v>
      </c>
      <c r="D103" s="6">
        <v>12775</v>
      </c>
      <c r="E103" s="6">
        <v>11887</v>
      </c>
    </row>
    <row r="104" ht="14.25" customHeight="1" spans="1:5">
      <c r="A104" s="5">
        <v>43956</v>
      </c>
      <c r="B104" s="6" t="s">
        <v>21</v>
      </c>
      <c r="C104" s="6">
        <v>59</v>
      </c>
      <c r="D104" s="6">
        <v>13469</v>
      </c>
      <c r="E104" s="6">
        <v>12486</v>
      </c>
    </row>
    <row r="105" ht="14.25" customHeight="1" spans="1:5">
      <c r="A105" s="5">
        <v>43956</v>
      </c>
      <c r="B105" s="6" t="s">
        <v>13</v>
      </c>
      <c r="C105" s="6">
        <v>19</v>
      </c>
      <c r="D105" s="6">
        <v>1417</v>
      </c>
      <c r="E105" s="6">
        <v>1245</v>
      </c>
    </row>
    <row r="106" ht="14.25" customHeight="1" spans="1:5">
      <c r="A106" s="5">
        <v>43956</v>
      </c>
      <c r="B106" s="6" t="s">
        <v>23</v>
      </c>
      <c r="C106" s="6">
        <v>15</v>
      </c>
      <c r="D106" s="6">
        <v>750</v>
      </c>
      <c r="E106" s="6">
        <v>658</v>
      </c>
    </row>
    <row r="107" ht="14.25" customHeight="1" spans="1:5">
      <c r="A107" s="5">
        <v>43956</v>
      </c>
      <c r="B107" s="6" t="s">
        <v>18</v>
      </c>
      <c r="C107" s="6">
        <v>15</v>
      </c>
      <c r="D107" s="6">
        <v>922</v>
      </c>
      <c r="E107" s="6">
        <v>823</v>
      </c>
    </row>
    <row r="108" ht="14.25" customHeight="1" spans="1:5">
      <c r="A108" s="5">
        <v>43956</v>
      </c>
      <c r="B108" s="6" t="s">
        <v>19</v>
      </c>
      <c r="C108" s="6">
        <v>15</v>
      </c>
      <c r="D108" s="6">
        <v>455</v>
      </c>
      <c r="E108" s="6">
        <v>381</v>
      </c>
    </row>
    <row r="109" ht="14.25" customHeight="1" spans="1:5">
      <c r="A109" s="5">
        <v>43956</v>
      </c>
      <c r="B109" s="6" t="s">
        <v>15</v>
      </c>
      <c r="C109" s="6">
        <v>125</v>
      </c>
      <c r="D109" s="6">
        <v>18944</v>
      </c>
      <c r="E109" s="6">
        <v>17541</v>
      </c>
    </row>
    <row r="110" ht="14.25" customHeight="1" spans="1:5">
      <c r="A110" s="5">
        <v>43956</v>
      </c>
      <c r="B110" s="6" t="s">
        <v>14</v>
      </c>
      <c r="C110" s="6">
        <v>129</v>
      </c>
      <c r="D110" s="6">
        <v>15665</v>
      </c>
      <c r="E110" s="6">
        <v>14501</v>
      </c>
    </row>
    <row r="111" ht="14.25" customHeight="1" spans="1:5">
      <c r="A111" s="5">
        <v>43956</v>
      </c>
      <c r="B111" s="6" t="s">
        <v>12</v>
      </c>
      <c r="C111" s="6">
        <v>10</v>
      </c>
      <c r="D111" s="6">
        <v>511</v>
      </c>
      <c r="E111" s="6">
        <v>437</v>
      </c>
    </row>
    <row r="112" ht="14.25" customHeight="1" spans="1:5">
      <c r="A112" s="5">
        <v>43957</v>
      </c>
      <c r="B112" s="6" t="s">
        <v>16</v>
      </c>
      <c r="C112" s="6">
        <v>36</v>
      </c>
      <c r="D112" s="6">
        <v>4384</v>
      </c>
      <c r="E112" s="6">
        <v>4025</v>
      </c>
    </row>
    <row r="113" ht="14.25" customHeight="1" spans="1:5">
      <c r="A113" s="5">
        <v>43957</v>
      </c>
      <c r="B113" s="6" t="s">
        <v>11</v>
      </c>
      <c r="C113" s="6">
        <v>31</v>
      </c>
      <c r="D113" s="6">
        <v>4709</v>
      </c>
      <c r="E113" s="6">
        <v>4348</v>
      </c>
    </row>
    <row r="114" ht="14.25" customHeight="1" spans="1:5">
      <c r="A114" s="5">
        <v>43957</v>
      </c>
      <c r="B114" s="6" t="s">
        <v>17</v>
      </c>
      <c r="C114" s="6">
        <v>20</v>
      </c>
      <c r="D114" s="6">
        <v>1747</v>
      </c>
      <c r="E114" s="6">
        <v>1570</v>
      </c>
    </row>
    <row r="115" ht="14.25" customHeight="1" spans="1:5">
      <c r="A115" s="5">
        <v>43957</v>
      </c>
      <c r="B115" s="6" t="s">
        <v>10</v>
      </c>
      <c r="C115" s="6">
        <v>20</v>
      </c>
      <c r="D115" s="6">
        <v>1784</v>
      </c>
      <c r="E115" s="6">
        <v>1632</v>
      </c>
    </row>
    <row r="116" ht="14.25" customHeight="1" spans="1:5">
      <c r="A116" s="5">
        <v>43957</v>
      </c>
      <c r="B116" s="6" t="s">
        <v>20</v>
      </c>
      <c r="C116" s="6">
        <v>19</v>
      </c>
      <c r="D116" s="6">
        <v>1509</v>
      </c>
      <c r="E116" s="6">
        <v>1374</v>
      </c>
    </row>
    <row r="117" ht="14.25" customHeight="1" spans="1:5">
      <c r="A117" s="5">
        <v>43957</v>
      </c>
      <c r="B117" s="6" t="s">
        <v>22</v>
      </c>
      <c r="C117" s="6">
        <v>54</v>
      </c>
      <c r="D117" s="6">
        <v>13406</v>
      </c>
      <c r="E117" s="6">
        <v>12518</v>
      </c>
    </row>
    <row r="118" ht="14.25" customHeight="1" spans="1:5">
      <c r="A118" s="5">
        <v>43957</v>
      </c>
      <c r="B118" s="6" t="s">
        <v>21</v>
      </c>
      <c r="C118" s="6">
        <v>59</v>
      </c>
      <c r="D118" s="6">
        <v>14103</v>
      </c>
      <c r="E118" s="6">
        <v>13118</v>
      </c>
    </row>
    <row r="119" ht="14.25" customHeight="1" spans="1:5">
      <c r="A119" s="5">
        <v>43957</v>
      </c>
      <c r="B119" s="6" t="s">
        <v>13</v>
      </c>
      <c r="C119" s="6">
        <v>19</v>
      </c>
      <c r="D119" s="6">
        <v>1499</v>
      </c>
      <c r="E119" s="6">
        <v>1323</v>
      </c>
    </row>
    <row r="120" ht="14.25" customHeight="1" spans="1:5">
      <c r="A120" s="5">
        <v>43957</v>
      </c>
      <c r="B120" s="6" t="s">
        <v>23</v>
      </c>
      <c r="C120" s="6">
        <v>15</v>
      </c>
      <c r="D120" s="6">
        <v>701</v>
      </c>
      <c r="E120" s="6">
        <v>611</v>
      </c>
    </row>
    <row r="121" ht="14.25" customHeight="1" spans="1:5">
      <c r="A121" s="5">
        <v>43957</v>
      </c>
      <c r="B121" s="6" t="s">
        <v>18</v>
      </c>
      <c r="C121" s="6">
        <v>15</v>
      </c>
      <c r="D121" s="6">
        <v>839</v>
      </c>
      <c r="E121" s="6">
        <v>733</v>
      </c>
    </row>
    <row r="122" ht="14.25" customHeight="1" spans="1:5">
      <c r="A122" s="5">
        <v>43957</v>
      </c>
      <c r="B122" s="6" t="s">
        <v>19</v>
      </c>
      <c r="C122" s="6">
        <v>15</v>
      </c>
      <c r="D122" s="6">
        <v>467</v>
      </c>
      <c r="E122" s="6">
        <v>389</v>
      </c>
    </row>
    <row r="123" ht="14.25" customHeight="1" spans="1:5">
      <c r="A123" s="5">
        <v>43957</v>
      </c>
      <c r="B123" s="6" t="s">
        <v>15</v>
      </c>
      <c r="C123" s="6">
        <v>125</v>
      </c>
      <c r="D123" s="6">
        <v>20218</v>
      </c>
      <c r="E123" s="6">
        <v>18647</v>
      </c>
    </row>
    <row r="124" ht="14.25" customHeight="1" spans="1:5">
      <c r="A124" s="5">
        <v>43957</v>
      </c>
      <c r="B124" s="6" t="s">
        <v>14</v>
      </c>
      <c r="C124" s="6">
        <v>129</v>
      </c>
      <c r="D124" s="6">
        <v>16376</v>
      </c>
      <c r="E124" s="6">
        <v>15197</v>
      </c>
    </row>
    <row r="125" ht="14.25" customHeight="1" spans="1:5">
      <c r="A125" s="5">
        <v>43957</v>
      </c>
      <c r="B125" s="6" t="s">
        <v>12</v>
      </c>
      <c r="C125" s="6">
        <v>10</v>
      </c>
      <c r="D125" s="6">
        <v>465</v>
      </c>
      <c r="E125" s="6">
        <v>390</v>
      </c>
    </row>
    <row r="126" ht="14.25" customHeight="1" spans="1:5">
      <c r="A126" s="5">
        <v>43958</v>
      </c>
      <c r="B126" s="6" t="s">
        <v>16</v>
      </c>
      <c r="C126" s="6">
        <v>36</v>
      </c>
      <c r="D126" s="6">
        <v>4826</v>
      </c>
      <c r="E126" s="6">
        <v>4426</v>
      </c>
    </row>
    <row r="127" ht="14.25" customHeight="1" spans="1:5">
      <c r="A127" s="5">
        <v>43958</v>
      </c>
      <c r="B127" s="6" t="s">
        <v>11</v>
      </c>
      <c r="C127" s="6">
        <v>31</v>
      </c>
      <c r="D127" s="6">
        <v>4903</v>
      </c>
      <c r="E127" s="6">
        <v>4527</v>
      </c>
    </row>
    <row r="128" ht="14.25" customHeight="1" spans="1:5">
      <c r="A128" s="5">
        <v>43958</v>
      </c>
      <c r="B128" s="6" t="s">
        <v>17</v>
      </c>
      <c r="C128" s="6">
        <v>21</v>
      </c>
      <c r="D128" s="6">
        <v>1879</v>
      </c>
      <c r="E128" s="6">
        <v>1695</v>
      </c>
    </row>
    <row r="129" ht="14.25" customHeight="1" spans="1:5">
      <c r="A129" s="5">
        <v>43958</v>
      </c>
      <c r="B129" s="6" t="s">
        <v>10</v>
      </c>
      <c r="C129" s="6">
        <v>21</v>
      </c>
      <c r="D129" s="6">
        <v>1542</v>
      </c>
      <c r="E129" s="6">
        <v>1405</v>
      </c>
    </row>
    <row r="130" ht="14.25" customHeight="1" spans="1:5">
      <c r="A130" s="5">
        <v>43958</v>
      </c>
      <c r="B130" s="6" t="s">
        <v>20</v>
      </c>
      <c r="C130" s="6">
        <v>19</v>
      </c>
      <c r="D130" s="6">
        <v>1580</v>
      </c>
      <c r="E130" s="6">
        <v>1435</v>
      </c>
    </row>
    <row r="131" ht="14.25" customHeight="1" spans="1:5">
      <c r="A131" s="5">
        <v>43958</v>
      </c>
      <c r="B131" s="6" t="s">
        <v>22</v>
      </c>
      <c r="C131" s="6">
        <v>54</v>
      </c>
      <c r="D131" s="6">
        <v>12743</v>
      </c>
      <c r="E131" s="6">
        <v>11858</v>
      </c>
    </row>
    <row r="132" ht="14.25" customHeight="1" spans="1:5">
      <c r="A132" s="5">
        <v>43958</v>
      </c>
      <c r="B132" s="6" t="s">
        <v>21</v>
      </c>
      <c r="C132" s="6">
        <v>59</v>
      </c>
      <c r="D132" s="6">
        <v>13495</v>
      </c>
      <c r="E132" s="6">
        <v>12517</v>
      </c>
    </row>
    <row r="133" ht="14.25" customHeight="1" spans="1:5">
      <c r="A133" s="5">
        <v>43958</v>
      </c>
      <c r="B133" s="6" t="s">
        <v>13</v>
      </c>
      <c r="C133" s="6">
        <v>19</v>
      </c>
      <c r="D133" s="6">
        <v>1530</v>
      </c>
      <c r="E133" s="6">
        <v>1338</v>
      </c>
    </row>
    <row r="134" ht="14.25" customHeight="1" spans="1:5">
      <c r="A134" s="5">
        <v>43958</v>
      </c>
      <c r="B134" s="6" t="s">
        <v>23</v>
      </c>
      <c r="C134" s="6">
        <v>15</v>
      </c>
      <c r="D134" s="6">
        <v>676</v>
      </c>
      <c r="E134" s="6">
        <v>591</v>
      </c>
    </row>
    <row r="135" ht="14.25" customHeight="1" spans="1:5">
      <c r="A135" s="5">
        <v>43958</v>
      </c>
      <c r="B135" s="6" t="s">
        <v>18</v>
      </c>
      <c r="C135" s="6">
        <v>15</v>
      </c>
      <c r="D135" s="6">
        <v>805</v>
      </c>
      <c r="E135" s="6">
        <v>703</v>
      </c>
    </row>
    <row r="136" ht="14.25" customHeight="1" spans="1:5">
      <c r="A136" s="5">
        <v>43958</v>
      </c>
      <c r="B136" s="6" t="s">
        <v>19</v>
      </c>
      <c r="C136" s="6">
        <v>15</v>
      </c>
      <c r="D136" s="6">
        <v>480</v>
      </c>
      <c r="E136" s="6">
        <v>398</v>
      </c>
    </row>
    <row r="137" ht="14.25" customHeight="1" spans="1:5">
      <c r="A137" s="5">
        <v>43958</v>
      </c>
      <c r="B137" s="6" t="s">
        <v>15</v>
      </c>
      <c r="C137" s="6">
        <v>125</v>
      </c>
      <c r="D137" s="6">
        <v>18014</v>
      </c>
      <c r="E137" s="6">
        <v>16675</v>
      </c>
    </row>
    <row r="138" ht="14.25" customHeight="1" spans="1:5">
      <c r="A138" s="5">
        <v>43958</v>
      </c>
      <c r="B138" s="6" t="s">
        <v>14</v>
      </c>
      <c r="C138" s="6">
        <v>129</v>
      </c>
      <c r="D138" s="6">
        <v>14582</v>
      </c>
      <c r="E138" s="6">
        <v>13512</v>
      </c>
    </row>
    <row r="139" ht="14.25" customHeight="1" spans="1:5">
      <c r="A139" s="5">
        <v>43958</v>
      </c>
      <c r="B139" s="6" t="s">
        <v>12</v>
      </c>
      <c r="C139" s="6">
        <v>10</v>
      </c>
      <c r="D139" s="6">
        <v>563</v>
      </c>
      <c r="E139" s="6">
        <v>486</v>
      </c>
    </row>
    <row r="140" ht="14.25" customHeight="1" spans="1:5">
      <c r="A140" s="5">
        <v>43959</v>
      </c>
      <c r="B140" s="6" t="s">
        <v>16</v>
      </c>
      <c r="C140" s="6">
        <v>36</v>
      </c>
      <c r="D140" s="6">
        <v>4199</v>
      </c>
      <c r="E140" s="6">
        <v>3867</v>
      </c>
    </row>
    <row r="141" ht="14.25" customHeight="1" spans="1:5">
      <c r="A141" s="5">
        <v>43959</v>
      </c>
      <c r="B141" s="6" t="s">
        <v>11</v>
      </c>
      <c r="C141" s="6">
        <v>31</v>
      </c>
      <c r="D141" s="6">
        <v>4635</v>
      </c>
      <c r="E141" s="6">
        <v>4266</v>
      </c>
    </row>
    <row r="142" ht="14.25" customHeight="1" spans="1:5">
      <c r="A142" s="5">
        <v>43959</v>
      </c>
      <c r="B142" s="6" t="s">
        <v>17</v>
      </c>
      <c r="C142" s="6">
        <v>21</v>
      </c>
      <c r="D142" s="6">
        <v>1957</v>
      </c>
      <c r="E142" s="6">
        <v>1755</v>
      </c>
    </row>
    <row r="143" ht="14.25" customHeight="1" spans="1:5">
      <c r="A143" s="5">
        <v>43959</v>
      </c>
      <c r="B143" s="6" t="s">
        <v>10</v>
      </c>
      <c r="C143" s="6">
        <v>21</v>
      </c>
      <c r="D143" s="6">
        <v>1646</v>
      </c>
      <c r="E143" s="6">
        <v>1492</v>
      </c>
    </row>
    <row r="144" ht="14.25" customHeight="1" spans="1:5">
      <c r="A144" s="5">
        <v>43959</v>
      </c>
      <c r="B144" s="6" t="s">
        <v>20</v>
      </c>
      <c r="C144" s="6">
        <v>19</v>
      </c>
      <c r="D144" s="6">
        <v>1520</v>
      </c>
      <c r="E144" s="6">
        <v>1380</v>
      </c>
    </row>
    <row r="145" ht="14.25" customHeight="1" spans="1:5">
      <c r="A145" s="5">
        <v>43959</v>
      </c>
      <c r="B145" s="6" t="s">
        <v>22</v>
      </c>
      <c r="C145" s="6">
        <v>54</v>
      </c>
      <c r="D145" s="6">
        <v>13563</v>
      </c>
      <c r="E145" s="6">
        <v>12604</v>
      </c>
    </row>
    <row r="146" ht="14.25" customHeight="1" spans="1:5">
      <c r="A146" s="5">
        <v>43959</v>
      </c>
      <c r="B146" s="6" t="s">
        <v>21</v>
      </c>
      <c r="C146" s="6">
        <v>59</v>
      </c>
      <c r="D146" s="6">
        <v>14098</v>
      </c>
      <c r="E146" s="6">
        <v>13106</v>
      </c>
    </row>
    <row r="147" ht="14.25" customHeight="1" spans="1:5">
      <c r="A147" s="5">
        <v>43959</v>
      </c>
      <c r="B147" s="6" t="s">
        <v>13</v>
      </c>
      <c r="C147" s="6">
        <v>19</v>
      </c>
      <c r="D147" s="6">
        <v>1522</v>
      </c>
      <c r="E147" s="6">
        <v>1340</v>
      </c>
    </row>
    <row r="148" ht="14.25" customHeight="1" spans="1:5">
      <c r="A148" s="5">
        <v>43959</v>
      </c>
      <c r="B148" s="6" t="s">
        <v>23</v>
      </c>
      <c r="C148" s="6">
        <v>15</v>
      </c>
      <c r="D148" s="6">
        <v>703</v>
      </c>
      <c r="E148" s="6">
        <v>609</v>
      </c>
    </row>
    <row r="149" ht="14.25" customHeight="1" spans="1:5">
      <c r="A149" s="5">
        <v>43959</v>
      </c>
      <c r="B149" s="6" t="s">
        <v>18</v>
      </c>
      <c r="C149" s="6">
        <v>15</v>
      </c>
      <c r="D149" s="6">
        <v>879</v>
      </c>
      <c r="E149" s="6">
        <v>768</v>
      </c>
    </row>
    <row r="150" ht="14.25" customHeight="1" spans="1:5">
      <c r="A150" s="5">
        <v>43959</v>
      </c>
      <c r="B150" s="6" t="s">
        <v>19</v>
      </c>
      <c r="C150" s="6">
        <v>15</v>
      </c>
      <c r="D150" s="6">
        <v>492</v>
      </c>
      <c r="E150" s="6">
        <v>412</v>
      </c>
    </row>
    <row r="151" ht="14.25" customHeight="1" spans="1:5">
      <c r="A151" s="5">
        <v>43959</v>
      </c>
      <c r="B151" s="6" t="s">
        <v>15</v>
      </c>
      <c r="C151" s="6">
        <v>125</v>
      </c>
      <c r="D151" s="6">
        <v>24620</v>
      </c>
      <c r="E151" s="6">
        <v>22641</v>
      </c>
    </row>
    <row r="152" ht="14.25" customHeight="1" spans="1:5">
      <c r="A152" s="5">
        <v>43959</v>
      </c>
      <c r="B152" s="6" t="s">
        <v>14</v>
      </c>
      <c r="C152" s="6">
        <v>129</v>
      </c>
      <c r="D152" s="6">
        <v>20452</v>
      </c>
      <c r="E152" s="6">
        <v>18857</v>
      </c>
    </row>
    <row r="153" ht="14.25" customHeight="1" spans="1:5">
      <c r="A153" s="5">
        <v>43959</v>
      </c>
      <c r="B153" s="6" t="s">
        <v>12</v>
      </c>
      <c r="C153" s="6">
        <v>10</v>
      </c>
      <c r="D153" s="6">
        <v>638</v>
      </c>
      <c r="E153" s="6">
        <v>547</v>
      </c>
    </row>
    <row r="154" ht="14.25" customHeight="1" spans="1:5">
      <c r="A154" s="5">
        <v>43960</v>
      </c>
      <c r="B154" s="6" t="s">
        <v>16</v>
      </c>
      <c r="C154" s="6">
        <v>36</v>
      </c>
      <c r="D154" s="6">
        <v>5413</v>
      </c>
      <c r="E154" s="6">
        <v>4959</v>
      </c>
    </row>
    <row r="155" ht="14.25" customHeight="1" spans="1:5">
      <c r="A155" s="5">
        <v>43960</v>
      </c>
      <c r="B155" s="6" t="s">
        <v>11</v>
      </c>
      <c r="C155" s="6">
        <v>31</v>
      </c>
      <c r="D155" s="6">
        <v>4556</v>
      </c>
      <c r="E155" s="6">
        <v>4220</v>
      </c>
    </row>
    <row r="156" ht="14.25" customHeight="1" spans="1:5">
      <c r="A156" s="5">
        <v>43960</v>
      </c>
      <c r="B156" s="6" t="s">
        <v>17</v>
      </c>
      <c r="C156" s="6">
        <v>21</v>
      </c>
      <c r="D156" s="6">
        <v>1891</v>
      </c>
      <c r="E156" s="6">
        <v>1709</v>
      </c>
    </row>
    <row r="157" ht="14.25" customHeight="1" spans="1:5">
      <c r="A157" s="5">
        <v>43960</v>
      </c>
      <c r="B157" s="6" t="s">
        <v>10</v>
      </c>
      <c r="C157" s="6">
        <v>21</v>
      </c>
      <c r="D157" s="6">
        <v>1735</v>
      </c>
      <c r="E157" s="6">
        <v>1568</v>
      </c>
    </row>
    <row r="158" ht="14.25" customHeight="1" spans="1:5">
      <c r="A158" s="5">
        <v>43960</v>
      </c>
      <c r="B158" s="6" t="s">
        <v>20</v>
      </c>
      <c r="C158" s="6">
        <v>19</v>
      </c>
      <c r="D158" s="6">
        <v>1542</v>
      </c>
      <c r="E158" s="6">
        <v>1412</v>
      </c>
    </row>
    <row r="159" ht="14.25" customHeight="1" spans="1:5">
      <c r="A159" s="5">
        <v>43960</v>
      </c>
      <c r="B159" s="6" t="s">
        <v>22</v>
      </c>
      <c r="C159" s="6">
        <v>54</v>
      </c>
      <c r="D159" s="6">
        <v>11288</v>
      </c>
      <c r="E159" s="6">
        <v>10492</v>
      </c>
    </row>
    <row r="160" ht="14.25" customHeight="1" spans="1:5">
      <c r="A160" s="5">
        <v>43960</v>
      </c>
      <c r="B160" s="6" t="s">
        <v>21</v>
      </c>
      <c r="C160" s="6">
        <v>59</v>
      </c>
      <c r="D160" s="6">
        <v>12016</v>
      </c>
      <c r="E160" s="6">
        <v>11137</v>
      </c>
    </row>
    <row r="161" ht="14.25" customHeight="1" spans="1:5">
      <c r="A161" s="5">
        <v>43960</v>
      </c>
      <c r="B161" s="6" t="s">
        <v>13</v>
      </c>
      <c r="C161" s="6">
        <v>19</v>
      </c>
      <c r="D161" s="6">
        <v>1851</v>
      </c>
      <c r="E161" s="6">
        <v>1635</v>
      </c>
    </row>
    <row r="162" ht="14.25" customHeight="1" spans="1:5">
      <c r="A162" s="5">
        <v>43960</v>
      </c>
      <c r="B162" s="6" t="s">
        <v>23</v>
      </c>
      <c r="C162" s="6">
        <v>15</v>
      </c>
      <c r="D162" s="6">
        <v>654</v>
      </c>
      <c r="E162" s="6">
        <v>570</v>
      </c>
    </row>
    <row r="163" ht="14.25" customHeight="1" spans="1:5">
      <c r="A163" s="5">
        <v>43960</v>
      </c>
      <c r="B163" s="6" t="s">
        <v>18</v>
      </c>
      <c r="C163" s="6">
        <v>15</v>
      </c>
      <c r="D163" s="6">
        <v>849</v>
      </c>
      <c r="E163" s="6">
        <v>740</v>
      </c>
    </row>
    <row r="164" ht="14.25" customHeight="1" spans="1:5">
      <c r="A164" s="5">
        <v>43960</v>
      </c>
      <c r="B164" s="6" t="s">
        <v>19</v>
      </c>
      <c r="C164" s="6">
        <v>15</v>
      </c>
      <c r="D164" s="6">
        <v>623</v>
      </c>
      <c r="E164" s="6">
        <v>535</v>
      </c>
    </row>
    <row r="165" ht="14.25" customHeight="1" spans="1:5">
      <c r="A165" s="5">
        <v>43960</v>
      </c>
      <c r="B165" s="6" t="s">
        <v>15</v>
      </c>
      <c r="C165" s="6">
        <v>125</v>
      </c>
      <c r="D165" s="6">
        <v>20132</v>
      </c>
      <c r="E165" s="6">
        <v>18617</v>
      </c>
    </row>
    <row r="166" ht="14.25" customHeight="1" spans="1:5">
      <c r="A166" s="5">
        <v>43960</v>
      </c>
      <c r="B166" s="6" t="s">
        <v>14</v>
      </c>
      <c r="C166" s="6">
        <v>129</v>
      </c>
      <c r="D166" s="6">
        <v>16420</v>
      </c>
      <c r="E166" s="6">
        <v>15169</v>
      </c>
    </row>
    <row r="167" ht="14.25" customHeight="1" spans="1:5">
      <c r="A167" s="5">
        <v>43960</v>
      </c>
      <c r="B167" s="6" t="s">
        <v>12</v>
      </c>
      <c r="C167" s="6">
        <v>10</v>
      </c>
      <c r="D167" s="6">
        <v>644</v>
      </c>
      <c r="E167" s="6">
        <v>559</v>
      </c>
    </row>
    <row r="168" ht="14.25" customHeight="1" spans="1:5">
      <c r="A168" s="5">
        <v>43961</v>
      </c>
      <c r="B168" s="6" t="s">
        <v>16</v>
      </c>
      <c r="C168" s="6">
        <v>36</v>
      </c>
      <c r="D168" s="6">
        <v>5746</v>
      </c>
      <c r="E168" s="6">
        <v>5277</v>
      </c>
    </row>
    <row r="169" ht="14.25" customHeight="1" spans="1:5">
      <c r="A169" s="5">
        <v>43961</v>
      </c>
      <c r="B169" s="6" t="s">
        <v>11</v>
      </c>
      <c r="C169" s="6">
        <v>31</v>
      </c>
      <c r="D169" s="6">
        <v>5495</v>
      </c>
      <c r="E169" s="6">
        <v>5093</v>
      </c>
    </row>
    <row r="170" ht="14.25" customHeight="1" spans="1:5">
      <c r="A170" s="5">
        <v>43961</v>
      </c>
      <c r="B170" s="6" t="s">
        <v>17</v>
      </c>
      <c r="C170" s="6">
        <v>21</v>
      </c>
      <c r="D170" s="6">
        <v>2120</v>
      </c>
      <c r="E170" s="6">
        <v>1921</v>
      </c>
    </row>
    <row r="171" ht="14.25" customHeight="1" spans="1:5">
      <c r="A171" s="5">
        <v>43961</v>
      </c>
      <c r="B171" s="6" t="s">
        <v>10</v>
      </c>
      <c r="C171" s="6">
        <v>21</v>
      </c>
      <c r="D171" s="6">
        <v>2016</v>
      </c>
      <c r="E171" s="6">
        <v>1846</v>
      </c>
    </row>
    <row r="172" ht="14.25" customHeight="1" spans="1:5">
      <c r="A172" s="5">
        <v>43961</v>
      </c>
      <c r="B172" s="6" t="s">
        <v>20</v>
      </c>
      <c r="C172" s="6">
        <v>19</v>
      </c>
      <c r="D172" s="6">
        <v>1836</v>
      </c>
      <c r="E172" s="6">
        <v>1680</v>
      </c>
    </row>
    <row r="173" ht="14.25" customHeight="1" spans="1:5">
      <c r="A173" s="5">
        <v>43961</v>
      </c>
      <c r="B173" s="6" t="s">
        <v>22</v>
      </c>
      <c r="C173" s="6">
        <v>54</v>
      </c>
      <c r="D173" s="6">
        <v>13832</v>
      </c>
      <c r="E173" s="6">
        <v>12864</v>
      </c>
    </row>
    <row r="174" ht="14.25" customHeight="1" spans="1:5">
      <c r="A174" s="5">
        <v>43961</v>
      </c>
      <c r="B174" s="6" t="s">
        <v>21</v>
      </c>
      <c r="C174" s="6">
        <v>59</v>
      </c>
      <c r="D174" s="6">
        <v>14569</v>
      </c>
      <c r="E174" s="6">
        <v>13566</v>
      </c>
    </row>
    <row r="175" ht="14.25" customHeight="1" spans="1:5">
      <c r="A175" s="5">
        <v>43961</v>
      </c>
      <c r="B175" s="6" t="s">
        <v>13</v>
      </c>
      <c r="C175" s="6">
        <v>19</v>
      </c>
      <c r="D175" s="6">
        <v>1848</v>
      </c>
      <c r="E175" s="6">
        <v>1649</v>
      </c>
    </row>
    <row r="176" ht="14.25" customHeight="1" spans="1:5">
      <c r="A176" s="5">
        <v>43961</v>
      </c>
      <c r="B176" s="6" t="s">
        <v>23</v>
      </c>
      <c r="C176" s="6">
        <v>15</v>
      </c>
      <c r="D176" s="6">
        <v>792</v>
      </c>
      <c r="E176" s="6">
        <v>695</v>
      </c>
    </row>
    <row r="177" ht="14.25" customHeight="1" spans="1:5">
      <c r="A177" s="5">
        <v>43961</v>
      </c>
      <c r="B177" s="6" t="s">
        <v>18</v>
      </c>
      <c r="C177" s="6">
        <v>15</v>
      </c>
      <c r="D177" s="6">
        <v>950</v>
      </c>
      <c r="E177" s="6">
        <v>848</v>
      </c>
    </row>
    <row r="178" ht="14.25" customHeight="1" spans="1:5">
      <c r="A178" s="5">
        <v>43961</v>
      </c>
      <c r="B178" s="6" t="s">
        <v>19</v>
      </c>
      <c r="C178" s="6">
        <v>15</v>
      </c>
      <c r="D178" s="6">
        <v>706</v>
      </c>
      <c r="E178" s="6">
        <v>608</v>
      </c>
    </row>
    <row r="179" ht="14.25" customHeight="1" spans="1:5">
      <c r="A179" s="5">
        <v>43961</v>
      </c>
      <c r="B179" s="6" t="s">
        <v>15</v>
      </c>
      <c r="C179" s="6">
        <v>125</v>
      </c>
      <c r="D179" s="6">
        <v>20368</v>
      </c>
      <c r="E179" s="6">
        <v>18884</v>
      </c>
    </row>
    <row r="180" ht="14.25" customHeight="1" spans="1:5">
      <c r="A180" s="5">
        <v>43961</v>
      </c>
      <c r="B180" s="6" t="s">
        <v>14</v>
      </c>
      <c r="C180" s="6">
        <v>129</v>
      </c>
      <c r="D180" s="6">
        <v>16437</v>
      </c>
      <c r="E180" s="6">
        <v>15285</v>
      </c>
    </row>
    <row r="181" ht="14.25" customHeight="1" spans="1:5">
      <c r="A181" s="5">
        <v>43961</v>
      </c>
      <c r="B181" s="6" t="s">
        <v>12</v>
      </c>
      <c r="C181" s="6">
        <v>10</v>
      </c>
      <c r="D181" s="6">
        <v>642</v>
      </c>
      <c r="E181" s="6">
        <v>556</v>
      </c>
    </row>
    <row r="182" ht="14.25" customHeight="1" spans="1:5">
      <c r="A182" s="5">
        <v>43962</v>
      </c>
      <c r="B182" s="6" t="s">
        <v>16</v>
      </c>
      <c r="C182" s="6">
        <v>36</v>
      </c>
      <c r="D182" s="6">
        <v>4150</v>
      </c>
      <c r="E182" s="6">
        <v>3838</v>
      </c>
    </row>
    <row r="183" ht="14.25" customHeight="1" spans="1:5">
      <c r="A183" s="5">
        <v>43962</v>
      </c>
      <c r="B183" s="6" t="s">
        <v>11</v>
      </c>
      <c r="C183" s="6">
        <v>31</v>
      </c>
      <c r="D183" s="6">
        <v>4826</v>
      </c>
      <c r="E183" s="6">
        <v>4483</v>
      </c>
    </row>
    <row r="184" ht="14.25" customHeight="1" spans="1:5">
      <c r="A184" s="5">
        <v>43962</v>
      </c>
      <c r="B184" s="6" t="s">
        <v>17</v>
      </c>
      <c r="C184" s="6">
        <v>21</v>
      </c>
      <c r="D184" s="6">
        <v>1916</v>
      </c>
      <c r="E184" s="6">
        <v>1733</v>
      </c>
    </row>
    <row r="185" ht="14.25" customHeight="1" spans="1:5">
      <c r="A185" s="5">
        <v>43962</v>
      </c>
      <c r="B185" s="6" t="s">
        <v>10</v>
      </c>
      <c r="C185" s="6">
        <v>21</v>
      </c>
      <c r="D185" s="6">
        <v>1597</v>
      </c>
      <c r="E185" s="6">
        <v>1457</v>
      </c>
    </row>
    <row r="186" ht="14.25" customHeight="1" spans="1:5">
      <c r="A186" s="5">
        <v>43962</v>
      </c>
      <c r="B186" s="6" t="s">
        <v>20</v>
      </c>
      <c r="C186" s="6">
        <v>19</v>
      </c>
      <c r="D186" s="6">
        <v>1527</v>
      </c>
      <c r="E186" s="6">
        <v>1389</v>
      </c>
    </row>
    <row r="187" ht="14.25" customHeight="1" spans="1:5">
      <c r="A187" s="5">
        <v>43962</v>
      </c>
      <c r="B187" s="6" t="s">
        <v>22</v>
      </c>
      <c r="C187" s="6">
        <v>54</v>
      </c>
      <c r="D187" s="6">
        <v>10570</v>
      </c>
      <c r="E187" s="6">
        <v>9926</v>
      </c>
    </row>
    <row r="188" ht="14.25" customHeight="1" spans="1:5">
      <c r="A188" s="5">
        <v>43962</v>
      </c>
      <c r="B188" s="6" t="s">
        <v>21</v>
      </c>
      <c r="C188" s="6">
        <v>60</v>
      </c>
      <c r="D188" s="6">
        <v>11100</v>
      </c>
      <c r="E188" s="6">
        <v>10407</v>
      </c>
    </row>
    <row r="189" ht="14.25" customHeight="1" spans="1:5">
      <c r="A189" s="5">
        <v>43962</v>
      </c>
      <c r="B189" s="6" t="s">
        <v>13</v>
      </c>
      <c r="C189" s="6">
        <v>19</v>
      </c>
      <c r="D189" s="6">
        <v>2530</v>
      </c>
      <c r="E189" s="6">
        <v>2270</v>
      </c>
    </row>
    <row r="190" ht="14.25" customHeight="1" spans="1:5">
      <c r="A190" s="5">
        <v>43962</v>
      </c>
      <c r="B190" s="6" t="s">
        <v>23</v>
      </c>
      <c r="C190" s="6">
        <v>15</v>
      </c>
      <c r="D190" s="6">
        <v>654</v>
      </c>
      <c r="E190" s="6">
        <v>564</v>
      </c>
    </row>
    <row r="191" ht="14.25" customHeight="1" spans="1:5">
      <c r="A191" s="5">
        <v>43962</v>
      </c>
      <c r="B191" s="6" t="s">
        <v>18</v>
      </c>
      <c r="C191" s="6">
        <v>15</v>
      </c>
      <c r="D191" s="6">
        <v>812</v>
      </c>
      <c r="E191" s="6">
        <v>714</v>
      </c>
    </row>
    <row r="192" ht="14.25" customHeight="1" spans="1:5">
      <c r="A192" s="5">
        <v>43962</v>
      </c>
      <c r="B192" s="6" t="s">
        <v>19</v>
      </c>
      <c r="C192" s="6">
        <v>15</v>
      </c>
      <c r="D192" s="6">
        <v>684</v>
      </c>
      <c r="E192" s="6">
        <v>585</v>
      </c>
    </row>
    <row r="193" ht="14.25" customHeight="1" spans="1:5">
      <c r="A193" s="5">
        <v>43962</v>
      </c>
      <c r="B193" s="6" t="s">
        <v>15</v>
      </c>
      <c r="C193" s="6">
        <v>125</v>
      </c>
      <c r="D193" s="6">
        <v>18066</v>
      </c>
      <c r="E193" s="6">
        <v>16883</v>
      </c>
    </row>
    <row r="194" ht="14.25" customHeight="1" spans="1:5">
      <c r="A194" s="5">
        <v>43962</v>
      </c>
      <c r="B194" s="6" t="s">
        <v>14</v>
      </c>
      <c r="C194" s="6">
        <v>129</v>
      </c>
      <c r="D194" s="6">
        <v>14043</v>
      </c>
      <c r="E194" s="6">
        <v>13167</v>
      </c>
    </row>
    <row r="195" ht="14.25" customHeight="1" spans="1:5">
      <c r="A195" s="5">
        <v>43962</v>
      </c>
      <c r="B195" s="6" t="s">
        <v>12</v>
      </c>
      <c r="C195" s="6">
        <v>10</v>
      </c>
      <c r="D195" s="6">
        <v>494</v>
      </c>
      <c r="E195" s="6">
        <v>421</v>
      </c>
    </row>
    <row r="196" ht="14.25" customHeight="1" spans="1:5">
      <c r="A196" s="5">
        <v>43963</v>
      </c>
      <c r="B196" s="6" t="s">
        <v>16</v>
      </c>
      <c r="C196" s="6">
        <v>36</v>
      </c>
      <c r="D196" s="6">
        <v>4418</v>
      </c>
      <c r="E196" s="6">
        <v>4088</v>
      </c>
    </row>
    <row r="197" ht="14.25" customHeight="1" spans="1:5">
      <c r="A197" s="5">
        <v>43963</v>
      </c>
      <c r="B197" s="6" t="s">
        <v>11</v>
      </c>
      <c r="C197" s="6">
        <v>31</v>
      </c>
      <c r="D197" s="6">
        <v>4800</v>
      </c>
      <c r="E197" s="6">
        <v>4470</v>
      </c>
    </row>
    <row r="198" ht="14.25" customHeight="1" spans="1:5">
      <c r="A198" s="5">
        <v>43963</v>
      </c>
      <c r="B198" s="6" t="s">
        <v>17</v>
      </c>
      <c r="C198" s="6">
        <v>21</v>
      </c>
      <c r="D198" s="6">
        <v>1926</v>
      </c>
      <c r="E198" s="6">
        <v>1745</v>
      </c>
    </row>
    <row r="199" ht="14.25" customHeight="1" spans="1:5">
      <c r="A199" s="5">
        <v>43963</v>
      </c>
      <c r="B199" s="6" t="s">
        <v>10</v>
      </c>
      <c r="C199" s="6">
        <v>21</v>
      </c>
      <c r="D199" s="6">
        <v>1656</v>
      </c>
      <c r="E199" s="6">
        <v>1516</v>
      </c>
    </row>
    <row r="200" ht="14.25" customHeight="1" spans="1:5">
      <c r="A200" s="5">
        <v>43963</v>
      </c>
      <c r="B200" s="6" t="s">
        <v>20</v>
      </c>
      <c r="C200" s="6">
        <v>19</v>
      </c>
      <c r="D200" s="6">
        <v>1598</v>
      </c>
      <c r="E200" s="6">
        <v>1454</v>
      </c>
    </row>
    <row r="201" ht="14.25" customHeight="1" spans="1:5">
      <c r="A201" s="5">
        <v>43963</v>
      </c>
      <c r="B201" s="6" t="s">
        <v>22</v>
      </c>
      <c r="C201" s="6">
        <v>54</v>
      </c>
      <c r="D201" s="6">
        <v>11614</v>
      </c>
      <c r="E201" s="6">
        <v>10862</v>
      </c>
    </row>
    <row r="202" ht="14.25" customHeight="1" spans="1:5">
      <c r="A202" s="5">
        <v>43963</v>
      </c>
      <c r="B202" s="6" t="s">
        <v>21</v>
      </c>
      <c r="C202" s="6">
        <v>60</v>
      </c>
      <c r="D202" s="6">
        <v>12000</v>
      </c>
      <c r="E202" s="6">
        <v>11194</v>
      </c>
    </row>
    <row r="203" ht="14.25" customHeight="1" spans="1:5">
      <c r="A203" s="5">
        <v>43963</v>
      </c>
      <c r="B203" s="6" t="s">
        <v>13</v>
      </c>
      <c r="C203" s="6">
        <v>19</v>
      </c>
      <c r="D203" s="6">
        <v>1649</v>
      </c>
      <c r="E203" s="6">
        <v>1460</v>
      </c>
    </row>
    <row r="204" ht="14.25" customHeight="1" spans="1:5">
      <c r="A204" s="5">
        <v>43963</v>
      </c>
      <c r="B204" s="6" t="s">
        <v>23</v>
      </c>
      <c r="C204" s="6">
        <v>15</v>
      </c>
      <c r="D204" s="6">
        <v>750</v>
      </c>
      <c r="E204" s="6">
        <v>659</v>
      </c>
    </row>
    <row r="205" ht="14.25" customHeight="1" spans="1:5">
      <c r="A205" s="5">
        <v>43963</v>
      </c>
      <c r="B205" s="6" t="s">
        <v>18</v>
      </c>
      <c r="C205" s="6">
        <v>15</v>
      </c>
      <c r="D205" s="6">
        <v>845</v>
      </c>
      <c r="E205" s="6">
        <v>743</v>
      </c>
    </row>
    <row r="206" ht="14.25" customHeight="1" spans="1:5">
      <c r="A206" s="5">
        <v>43963</v>
      </c>
      <c r="B206" s="6" t="s">
        <v>19</v>
      </c>
      <c r="C206" s="6">
        <v>15</v>
      </c>
      <c r="D206" s="6">
        <v>624</v>
      </c>
      <c r="E206" s="6">
        <v>538</v>
      </c>
    </row>
    <row r="207" ht="14.25" customHeight="1" spans="1:5">
      <c r="A207" s="5">
        <v>43963</v>
      </c>
      <c r="B207" s="6" t="s">
        <v>15</v>
      </c>
      <c r="C207" s="6">
        <v>125</v>
      </c>
      <c r="D207" s="6">
        <v>21106</v>
      </c>
      <c r="E207" s="6">
        <v>19651</v>
      </c>
    </row>
    <row r="208" ht="14.25" customHeight="1" spans="1:5">
      <c r="A208" s="5">
        <v>43963</v>
      </c>
      <c r="B208" s="6" t="s">
        <v>14</v>
      </c>
      <c r="C208" s="6">
        <v>129</v>
      </c>
      <c r="D208" s="6">
        <v>16387</v>
      </c>
      <c r="E208" s="6">
        <v>15322</v>
      </c>
    </row>
    <row r="209" ht="14.25" customHeight="1" spans="1:5">
      <c r="A209" s="5">
        <v>43963</v>
      </c>
      <c r="B209" s="6" t="s">
        <v>12</v>
      </c>
      <c r="C209" s="6">
        <v>10</v>
      </c>
      <c r="D209" s="6">
        <v>526</v>
      </c>
      <c r="E209" s="6">
        <v>448</v>
      </c>
    </row>
    <row r="210" ht="14.25" customHeight="1" spans="1:5">
      <c r="A210" s="5">
        <v>43964</v>
      </c>
      <c r="B210" s="6" t="s">
        <v>16</v>
      </c>
      <c r="C210" s="6">
        <v>36</v>
      </c>
      <c r="D210" s="6">
        <v>4967</v>
      </c>
      <c r="E210" s="6">
        <v>4583</v>
      </c>
    </row>
    <row r="211" ht="14.25" customHeight="1" spans="1:5">
      <c r="A211" s="5">
        <v>43964</v>
      </c>
      <c r="B211" s="6" t="s">
        <v>11</v>
      </c>
      <c r="C211" s="6">
        <v>31</v>
      </c>
      <c r="D211" s="6">
        <v>5251</v>
      </c>
      <c r="E211" s="6">
        <v>4853</v>
      </c>
    </row>
    <row r="212" ht="14.25" customHeight="1" spans="1:5">
      <c r="A212" s="5">
        <v>43964</v>
      </c>
      <c r="B212" s="6" t="s">
        <v>17</v>
      </c>
      <c r="C212" s="6">
        <v>21</v>
      </c>
      <c r="D212" s="6">
        <v>2061</v>
      </c>
      <c r="E212" s="6">
        <v>1876</v>
      </c>
    </row>
    <row r="213" ht="14.25" customHeight="1" spans="1:5">
      <c r="A213" s="5">
        <v>43964</v>
      </c>
      <c r="B213" s="6" t="s">
        <v>10</v>
      </c>
      <c r="C213" s="6">
        <v>21</v>
      </c>
      <c r="D213" s="6">
        <v>1698</v>
      </c>
      <c r="E213" s="6">
        <v>1554</v>
      </c>
    </row>
    <row r="214" ht="14.25" customHeight="1" spans="1:5">
      <c r="A214" s="5">
        <v>43964</v>
      </c>
      <c r="B214" s="6" t="s">
        <v>20</v>
      </c>
      <c r="C214" s="6">
        <v>19</v>
      </c>
      <c r="D214" s="6">
        <v>1605</v>
      </c>
      <c r="E214" s="6">
        <v>1447</v>
      </c>
    </row>
    <row r="215" ht="14.25" customHeight="1" spans="1:5">
      <c r="A215" s="5">
        <v>43964</v>
      </c>
      <c r="B215" s="6" t="s">
        <v>22</v>
      </c>
      <c r="C215" s="6">
        <v>54</v>
      </c>
      <c r="D215" s="6">
        <v>11522</v>
      </c>
      <c r="E215" s="6">
        <v>10803</v>
      </c>
    </row>
    <row r="216" ht="14.25" customHeight="1" spans="1:5">
      <c r="A216" s="5">
        <v>43964</v>
      </c>
      <c r="B216" s="6" t="s">
        <v>21</v>
      </c>
      <c r="C216" s="6">
        <v>60</v>
      </c>
      <c r="D216" s="6">
        <v>12007</v>
      </c>
      <c r="E216" s="6">
        <v>11245</v>
      </c>
    </row>
    <row r="217" ht="14.25" customHeight="1" spans="1:5">
      <c r="A217" s="5">
        <v>43964</v>
      </c>
      <c r="B217" s="6" t="s">
        <v>13</v>
      </c>
      <c r="C217" s="6">
        <v>19</v>
      </c>
      <c r="D217" s="6">
        <v>1625</v>
      </c>
      <c r="E217" s="6">
        <v>1444</v>
      </c>
    </row>
    <row r="218" ht="14.25" customHeight="1" spans="1:5">
      <c r="A218" s="5">
        <v>43964</v>
      </c>
      <c r="B218" s="6" t="s">
        <v>23</v>
      </c>
      <c r="C218" s="6">
        <v>15</v>
      </c>
      <c r="D218" s="6">
        <v>854</v>
      </c>
      <c r="E218" s="6">
        <v>756</v>
      </c>
    </row>
    <row r="219" ht="14.25" customHeight="1" spans="1:5">
      <c r="A219" s="5">
        <v>43964</v>
      </c>
      <c r="B219" s="6" t="s">
        <v>18</v>
      </c>
      <c r="C219" s="6">
        <v>15</v>
      </c>
      <c r="D219" s="6">
        <v>898</v>
      </c>
      <c r="E219" s="6">
        <v>795</v>
      </c>
    </row>
    <row r="220" ht="14.25" customHeight="1" spans="1:5">
      <c r="A220" s="5">
        <v>43964</v>
      </c>
      <c r="B220" s="6" t="s">
        <v>19</v>
      </c>
      <c r="C220" s="6">
        <v>15</v>
      </c>
      <c r="D220" s="6">
        <v>599</v>
      </c>
      <c r="E220" s="6">
        <v>515</v>
      </c>
    </row>
    <row r="221" ht="14.25" customHeight="1" spans="1:5">
      <c r="A221" s="5">
        <v>43964</v>
      </c>
      <c r="B221" s="6" t="s">
        <v>15</v>
      </c>
      <c r="C221" s="6">
        <v>125</v>
      </c>
      <c r="D221" s="6">
        <v>19965</v>
      </c>
      <c r="E221" s="6">
        <v>18573</v>
      </c>
    </row>
    <row r="222" ht="14.25" customHeight="1" spans="1:5">
      <c r="A222" s="5">
        <v>43964</v>
      </c>
      <c r="B222" s="6" t="s">
        <v>14</v>
      </c>
      <c r="C222" s="6">
        <v>129</v>
      </c>
      <c r="D222" s="6">
        <v>15304</v>
      </c>
      <c r="E222" s="6">
        <v>14315</v>
      </c>
    </row>
    <row r="223" ht="14.25" customHeight="1" spans="1:5">
      <c r="A223" s="5">
        <v>43964</v>
      </c>
      <c r="B223" s="6" t="s">
        <v>12</v>
      </c>
      <c r="C223" s="6">
        <v>10</v>
      </c>
      <c r="D223" s="6">
        <v>612</v>
      </c>
      <c r="E223" s="6">
        <v>530</v>
      </c>
    </row>
    <row r="224" ht="14.25" customHeight="1" spans="1:5">
      <c r="A224" s="5">
        <v>43965</v>
      </c>
      <c r="B224" s="6" t="s">
        <v>16</v>
      </c>
      <c r="C224" s="6">
        <v>36</v>
      </c>
      <c r="D224" s="6">
        <v>4285</v>
      </c>
      <c r="E224" s="6">
        <v>3950</v>
      </c>
    </row>
    <row r="225" ht="14.25" customHeight="1" spans="1:5">
      <c r="A225" s="5">
        <v>43965</v>
      </c>
      <c r="B225" s="6" t="s">
        <v>11</v>
      </c>
      <c r="C225" s="6">
        <v>31</v>
      </c>
      <c r="D225" s="6">
        <v>4695</v>
      </c>
      <c r="E225" s="6">
        <v>4372</v>
      </c>
    </row>
    <row r="226" ht="14.25" customHeight="1" spans="1:5">
      <c r="A226" s="5">
        <v>43965</v>
      </c>
      <c r="B226" s="6" t="s">
        <v>17</v>
      </c>
      <c r="C226" s="6">
        <v>21</v>
      </c>
      <c r="D226" s="6">
        <v>1993</v>
      </c>
      <c r="E226" s="6">
        <v>1796</v>
      </c>
    </row>
    <row r="227" ht="14.25" customHeight="1" spans="1:5">
      <c r="A227" s="5">
        <v>43965</v>
      </c>
      <c r="B227" s="6" t="s">
        <v>10</v>
      </c>
      <c r="C227" s="6">
        <v>21</v>
      </c>
      <c r="D227" s="6">
        <v>1706</v>
      </c>
      <c r="E227" s="6">
        <v>1548</v>
      </c>
    </row>
    <row r="228" ht="14.25" customHeight="1" spans="1:5">
      <c r="A228" s="5">
        <v>43965</v>
      </c>
      <c r="B228" s="6" t="s">
        <v>20</v>
      </c>
      <c r="C228" s="6">
        <v>19</v>
      </c>
      <c r="D228" s="6">
        <v>1635</v>
      </c>
      <c r="E228" s="6">
        <v>1487</v>
      </c>
    </row>
    <row r="229" ht="14.25" customHeight="1" spans="1:5">
      <c r="A229" s="5">
        <v>43965</v>
      </c>
      <c r="B229" s="6" t="s">
        <v>22</v>
      </c>
      <c r="C229" s="6">
        <v>54</v>
      </c>
      <c r="D229" s="6">
        <v>11194</v>
      </c>
      <c r="E229" s="6">
        <v>10554</v>
      </c>
    </row>
    <row r="230" ht="14.25" customHeight="1" spans="1:5">
      <c r="A230" s="5">
        <v>43965</v>
      </c>
      <c r="B230" s="6" t="s">
        <v>21</v>
      </c>
      <c r="C230" s="6">
        <v>60</v>
      </c>
      <c r="D230" s="6">
        <v>11935</v>
      </c>
      <c r="E230" s="6">
        <v>11178</v>
      </c>
    </row>
    <row r="231" ht="14.25" customHeight="1" spans="1:5">
      <c r="A231" s="5">
        <v>43965</v>
      </c>
      <c r="B231" s="6" t="s">
        <v>13</v>
      </c>
      <c r="C231" s="6">
        <v>19</v>
      </c>
      <c r="D231" s="6">
        <v>1675</v>
      </c>
      <c r="E231" s="6">
        <v>1475</v>
      </c>
    </row>
    <row r="232" ht="14.25" customHeight="1" spans="1:5">
      <c r="A232" s="5">
        <v>43965</v>
      </c>
      <c r="B232" s="6" t="s">
        <v>23</v>
      </c>
      <c r="C232" s="6">
        <v>16</v>
      </c>
      <c r="D232" s="6">
        <v>834</v>
      </c>
      <c r="E232" s="6">
        <v>735</v>
      </c>
    </row>
    <row r="233" ht="14.25" customHeight="1" spans="1:5">
      <c r="A233" s="5">
        <v>43965</v>
      </c>
      <c r="B233" s="6" t="s">
        <v>18</v>
      </c>
      <c r="C233" s="6">
        <v>15</v>
      </c>
      <c r="D233" s="6">
        <v>890</v>
      </c>
      <c r="E233" s="6">
        <v>777</v>
      </c>
    </row>
    <row r="234" ht="14.25" customHeight="1" spans="1:5">
      <c r="A234" s="5">
        <v>43965</v>
      </c>
      <c r="B234" s="6" t="s">
        <v>19</v>
      </c>
      <c r="C234" s="6">
        <v>15</v>
      </c>
      <c r="D234" s="6">
        <v>638</v>
      </c>
      <c r="E234" s="6">
        <v>548</v>
      </c>
    </row>
    <row r="235" ht="14.25" customHeight="1" spans="1:5">
      <c r="A235" s="5">
        <v>43965</v>
      </c>
      <c r="B235" s="6" t="s">
        <v>15</v>
      </c>
      <c r="C235" s="6">
        <v>125</v>
      </c>
      <c r="D235" s="6">
        <v>20247</v>
      </c>
      <c r="E235" s="6">
        <v>18812</v>
      </c>
    </row>
    <row r="236" ht="14.25" customHeight="1" spans="1:5">
      <c r="A236" s="5">
        <v>43965</v>
      </c>
      <c r="B236" s="6" t="s">
        <v>14</v>
      </c>
      <c r="C236" s="6">
        <v>129</v>
      </c>
      <c r="D236" s="6">
        <v>15804</v>
      </c>
      <c r="E236" s="6">
        <v>14738</v>
      </c>
    </row>
    <row r="237" ht="14.25" customHeight="1" spans="1:5">
      <c r="A237" s="5">
        <v>43965</v>
      </c>
      <c r="B237" s="6" t="s">
        <v>12</v>
      </c>
      <c r="C237" s="6">
        <v>10</v>
      </c>
      <c r="D237" s="6">
        <v>627</v>
      </c>
      <c r="E237" s="6">
        <v>545</v>
      </c>
    </row>
    <row r="238" ht="14.25" customHeight="1" spans="1:5">
      <c r="A238" s="5">
        <v>43966</v>
      </c>
      <c r="B238" s="6" t="s">
        <v>16</v>
      </c>
      <c r="C238" s="6">
        <v>36</v>
      </c>
      <c r="D238" s="6">
        <v>4862</v>
      </c>
      <c r="E238" s="6">
        <v>4476</v>
      </c>
    </row>
    <row r="239" ht="14.25" customHeight="1" spans="1:5">
      <c r="A239" s="5">
        <v>43966</v>
      </c>
      <c r="B239" s="6" t="s">
        <v>11</v>
      </c>
      <c r="C239" s="6">
        <v>31</v>
      </c>
      <c r="D239" s="6">
        <v>5184</v>
      </c>
      <c r="E239" s="6">
        <v>4778</v>
      </c>
    </row>
    <row r="240" ht="14.25" customHeight="1" spans="1:5">
      <c r="A240" s="5">
        <v>43966</v>
      </c>
      <c r="B240" s="6" t="s">
        <v>17</v>
      </c>
      <c r="C240" s="6">
        <v>21</v>
      </c>
      <c r="D240" s="6">
        <v>2255</v>
      </c>
      <c r="E240" s="6">
        <v>2045</v>
      </c>
    </row>
    <row r="241" ht="14.25" customHeight="1" spans="1:5">
      <c r="A241" s="5">
        <v>43966</v>
      </c>
      <c r="B241" s="6" t="s">
        <v>10</v>
      </c>
      <c r="C241" s="6">
        <v>21</v>
      </c>
      <c r="D241" s="6">
        <v>1926</v>
      </c>
      <c r="E241" s="6">
        <v>1742</v>
      </c>
    </row>
    <row r="242" ht="14.25" customHeight="1" spans="1:5">
      <c r="A242" s="5">
        <v>43966</v>
      </c>
      <c r="B242" s="6" t="s">
        <v>20</v>
      </c>
      <c r="C242" s="6">
        <v>19</v>
      </c>
      <c r="D242" s="6">
        <v>1780</v>
      </c>
      <c r="E242" s="6">
        <v>1615</v>
      </c>
    </row>
    <row r="243" ht="14.25" customHeight="1" spans="1:5">
      <c r="A243" s="5">
        <v>43966</v>
      </c>
      <c r="B243" s="6" t="s">
        <v>22</v>
      </c>
      <c r="C243" s="6">
        <v>54</v>
      </c>
      <c r="D243" s="6">
        <v>12791</v>
      </c>
      <c r="E243" s="6">
        <v>11950</v>
      </c>
    </row>
    <row r="244" ht="14.25" customHeight="1" spans="1:5">
      <c r="A244" s="5">
        <v>43966</v>
      </c>
      <c r="B244" s="6" t="s">
        <v>21</v>
      </c>
      <c r="C244" s="6">
        <v>60</v>
      </c>
      <c r="D244" s="6">
        <v>13544</v>
      </c>
      <c r="E244" s="6">
        <v>12643</v>
      </c>
    </row>
    <row r="245" ht="14.25" customHeight="1" spans="1:5">
      <c r="A245" s="5">
        <v>43966</v>
      </c>
      <c r="B245" s="6" t="s">
        <v>13</v>
      </c>
      <c r="C245" s="6">
        <v>19</v>
      </c>
      <c r="D245" s="6">
        <v>1940</v>
      </c>
      <c r="E245" s="6">
        <v>1715</v>
      </c>
    </row>
    <row r="246" ht="14.25" customHeight="1" spans="1:5">
      <c r="A246" s="5">
        <v>43966</v>
      </c>
      <c r="B246" s="6" t="s">
        <v>23</v>
      </c>
      <c r="C246" s="6">
        <v>16</v>
      </c>
      <c r="D246" s="6">
        <v>817</v>
      </c>
      <c r="E246" s="6">
        <v>718</v>
      </c>
    </row>
    <row r="247" ht="14.25" customHeight="1" spans="1:5">
      <c r="A247" s="5">
        <v>43966</v>
      </c>
      <c r="B247" s="6" t="s">
        <v>18</v>
      </c>
      <c r="C247" s="6">
        <v>15</v>
      </c>
      <c r="D247" s="6">
        <v>980</v>
      </c>
      <c r="E247" s="6">
        <v>867</v>
      </c>
    </row>
    <row r="248" ht="14.25" customHeight="1" spans="1:5">
      <c r="A248" s="5">
        <v>43966</v>
      </c>
      <c r="B248" s="6" t="s">
        <v>19</v>
      </c>
      <c r="C248" s="6">
        <v>15</v>
      </c>
      <c r="D248" s="6">
        <v>688</v>
      </c>
      <c r="E248" s="6">
        <v>598</v>
      </c>
    </row>
    <row r="249" ht="14.25" customHeight="1" spans="1:5">
      <c r="A249" s="5">
        <v>43966</v>
      </c>
      <c r="B249" s="6" t="s">
        <v>15</v>
      </c>
      <c r="C249" s="6">
        <v>125</v>
      </c>
      <c r="D249" s="6">
        <v>21862</v>
      </c>
      <c r="E249" s="6">
        <v>20235</v>
      </c>
    </row>
    <row r="250" ht="14.25" customHeight="1" spans="1:5">
      <c r="A250" s="5">
        <v>43966</v>
      </c>
      <c r="B250" s="6" t="s">
        <v>14</v>
      </c>
      <c r="C250" s="6">
        <v>129</v>
      </c>
      <c r="D250" s="6">
        <v>17808</v>
      </c>
      <c r="E250" s="6">
        <v>16486</v>
      </c>
    </row>
    <row r="251" ht="14.25" customHeight="1" spans="1:5">
      <c r="A251" s="5">
        <v>43966</v>
      </c>
      <c r="B251" s="6" t="s">
        <v>12</v>
      </c>
      <c r="C251" s="6">
        <v>10</v>
      </c>
      <c r="D251" s="6">
        <v>743</v>
      </c>
      <c r="E251" s="6">
        <v>652</v>
      </c>
    </row>
    <row r="252" ht="14.25" customHeight="1" spans="1:5">
      <c r="A252" s="5">
        <v>43967</v>
      </c>
      <c r="B252" s="6" t="s">
        <v>16</v>
      </c>
      <c r="C252" s="6">
        <v>36</v>
      </c>
      <c r="D252" s="6">
        <v>5286</v>
      </c>
      <c r="E252" s="6">
        <v>4867</v>
      </c>
    </row>
    <row r="253" ht="14.25" customHeight="1" spans="1:5">
      <c r="A253" s="5">
        <v>43967</v>
      </c>
      <c r="B253" s="6" t="s">
        <v>11</v>
      </c>
      <c r="C253" s="6">
        <v>31</v>
      </c>
      <c r="D253" s="6">
        <v>5593</v>
      </c>
      <c r="E253" s="6">
        <v>5177</v>
      </c>
    </row>
    <row r="254" ht="14.25" customHeight="1" spans="1:5">
      <c r="A254" s="5">
        <v>43967</v>
      </c>
      <c r="B254" s="6" t="s">
        <v>17</v>
      </c>
      <c r="C254" s="6">
        <v>21</v>
      </c>
      <c r="D254" s="6">
        <v>2427</v>
      </c>
      <c r="E254" s="6">
        <v>2213</v>
      </c>
    </row>
    <row r="255" ht="14.25" customHeight="1" spans="1:5">
      <c r="A255" s="5">
        <v>43967</v>
      </c>
      <c r="B255" s="6" t="s">
        <v>10</v>
      </c>
      <c r="C255" s="6">
        <v>21</v>
      </c>
      <c r="D255" s="6">
        <v>2145</v>
      </c>
      <c r="E255" s="6">
        <v>1947</v>
      </c>
    </row>
    <row r="256" ht="14.25" customHeight="1" spans="1:5">
      <c r="A256" s="5">
        <v>43967</v>
      </c>
      <c r="B256" s="6" t="s">
        <v>20</v>
      </c>
      <c r="C256" s="6">
        <v>19</v>
      </c>
      <c r="D256" s="6">
        <v>2039</v>
      </c>
      <c r="E256" s="6">
        <v>1868</v>
      </c>
    </row>
    <row r="257" ht="14.25" customHeight="1" spans="1:5">
      <c r="A257" s="5">
        <v>43967</v>
      </c>
      <c r="B257" s="6" t="s">
        <v>22</v>
      </c>
      <c r="C257" s="6">
        <v>54</v>
      </c>
      <c r="D257" s="6">
        <v>13170</v>
      </c>
      <c r="E257" s="6">
        <v>12299</v>
      </c>
    </row>
    <row r="258" ht="14.25" customHeight="1" spans="1:5">
      <c r="A258" s="5">
        <v>43967</v>
      </c>
      <c r="B258" s="6" t="s">
        <v>21</v>
      </c>
      <c r="C258" s="6">
        <v>60</v>
      </c>
      <c r="D258" s="6">
        <v>14049</v>
      </c>
      <c r="E258" s="6">
        <v>13118</v>
      </c>
    </row>
    <row r="259" ht="14.25" customHeight="1" spans="1:5">
      <c r="A259" s="5">
        <v>43967</v>
      </c>
      <c r="B259" s="6" t="s">
        <v>13</v>
      </c>
      <c r="C259" s="6">
        <v>19</v>
      </c>
      <c r="D259" s="6">
        <v>2080</v>
      </c>
      <c r="E259" s="6">
        <v>1844</v>
      </c>
    </row>
    <row r="260" ht="14.25" customHeight="1" spans="1:5">
      <c r="A260" s="5">
        <v>43967</v>
      </c>
      <c r="B260" s="6" t="s">
        <v>23</v>
      </c>
      <c r="C260" s="6">
        <v>16</v>
      </c>
      <c r="D260" s="6">
        <v>920</v>
      </c>
      <c r="E260" s="6">
        <v>818</v>
      </c>
    </row>
    <row r="261" ht="14.25" customHeight="1" spans="1:5">
      <c r="A261" s="5">
        <v>43967</v>
      </c>
      <c r="B261" s="6" t="s">
        <v>18</v>
      </c>
      <c r="C261" s="6">
        <v>15</v>
      </c>
      <c r="D261" s="6">
        <v>1111</v>
      </c>
      <c r="E261" s="6">
        <v>992</v>
      </c>
    </row>
    <row r="262" ht="14.25" customHeight="1" spans="1:5">
      <c r="A262" s="5">
        <v>43967</v>
      </c>
      <c r="B262" s="6" t="s">
        <v>19</v>
      </c>
      <c r="C262" s="6">
        <v>15</v>
      </c>
      <c r="D262" s="6">
        <v>747</v>
      </c>
      <c r="E262" s="6">
        <v>647</v>
      </c>
    </row>
    <row r="263" ht="14.25" customHeight="1" spans="1:5">
      <c r="A263" s="5">
        <v>43967</v>
      </c>
      <c r="B263" s="6" t="s">
        <v>15</v>
      </c>
      <c r="C263" s="6">
        <v>125</v>
      </c>
      <c r="D263" s="6">
        <v>22291</v>
      </c>
      <c r="E263" s="6">
        <v>20635</v>
      </c>
    </row>
    <row r="264" ht="14.25" customHeight="1" spans="1:5">
      <c r="A264" s="5">
        <v>43967</v>
      </c>
      <c r="B264" s="6" t="s">
        <v>14</v>
      </c>
      <c r="C264" s="6">
        <v>129</v>
      </c>
      <c r="D264" s="6">
        <v>17914</v>
      </c>
      <c r="E264" s="6">
        <v>16631</v>
      </c>
    </row>
    <row r="265" ht="14.25" customHeight="1" spans="1:5">
      <c r="A265" s="5">
        <v>43967</v>
      </c>
      <c r="B265" s="6" t="s">
        <v>12</v>
      </c>
      <c r="C265" s="6">
        <v>10</v>
      </c>
      <c r="D265" s="6">
        <v>760</v>
      </c>
      <c r="E265" s="6">
        <v>672</v>
      </c>
    </row>
    <row r="266" ht="14.25" customHeight="1" spans="1:5">
      <c r="A266" s="5">
        <v>43968</v>
      </c>
      <c r="B266" s="6" t="s">
        <v>16</v>
      </c>
      <c r="C266" s="6">
        <v>36</v>
      </c>
      <c r="D266" s="6">
        <v>4918</v>
      </c>
      <c r="E266" s="6">
        <v>4554</v>
      </c>
    </row>
    <row r="267" ht="14.25" customHeight="1" spans="1:5">
      <c r="A267" s="5">
        <v>43968</v>
      </c>
      <c r="B267" s="6" t="s">
        <v>11</v>
      </c>
      <c r="C267" s="6">
        <v>31</v>
      </c>
      <c r="D267" s="6">
        <v>5206</v>
      </c>
      <c r="E267" s="6">
        <v>4843</v>
      </c>
    </row>
    <row r="268" ht="14.25" customHeight="1" spans="1:5">
      <c r="A268" s="5">
        <v>43968</v>
      </c>
      <c r="B268" s="6" t="s">
        <v>17</v>
      </c>
      <c r="C268" s="6">
        <v>21</v>
      </c>
      <c r="D268" s="6">
        <v>2054</v>
      </c>
      <c r="E268" s="6">
        <v>1883</v>
      </c>
    </row>
    <row r="269" ht="14.25" customHeight="1" spans="1:5">
      <c r="A269" s="5">
        <v>43968</v>
      </c>
      <c r="B269" s="6" t="s">
        <v>10</v>
      </c>
      <c r="C269" s="6">
        <v>21</v>
      </c>
      <c r="D269" s="6">
        <v>1874</v>
      </c>
      <c r="E269" s="6">
        <v>1705</v>
      </c>
    </row>
    <row r="270" ht="14.25" customHeight="1" spans="1:5">
      <c r="A270" s="5">
        <v>43968</v>
      </c>
      <c r="B270" s="6" t="s">
        <v>20</v>
      </c>
      <c r="C270" s="6">
        <v>19</v>
      </c>
      <c r="D270" s="6">
        <v>1790</v>
      </c>
      <c r="E270" s="6">
        <v>1633</v>
      </c>
    </row>
    <row r="271" ht="14.25" customHeight="1" spans="1:5">
      <c r="A271" s="5">
        <v>43968</v>
      </c>
      <c r="B271" s="6" t="s">
        <v>22</v>
      </c>
      <c r="C271" s="6">
        <v>54</v>
      </c>
      <c r="D271" s="6">
        <v>11128</v>
      </c>
      <c r="E271" s="6">
        <v>10467</v>
      </c>
    </row>
    <row r="272" ht="14.25" customHeight="1" spans="1:5">
      <c r="A272" s="5">
        <v>43968</v>
      </c>
      <c r="B272" s="6" t="s">
        <v>21</v>
      </c>
      <c r="C272" s="6">
        <v>60</v>
      </c>
      <c r="D272" s="6">
        <v>11698</v>
      </c>
      <c r="E272" s="6">
        <v>10989</v>
      </c>
    </row>
    <row r="273" ht="14.25" customHeight="1" spans="1:5">
      <c r="A273" s="5">
        <v>43968</v>
      </c>
      <c r="B273" s="6" t="s">
        <v>13</v>
      </c>
      <c r="C273" s="6">
        <v>19</v>
      </c>
      <c r="D273" s="6">
        <v>1871</v>
      </c>
      <c r="E273" s="6">
        <v>1660</v>
      </c>
    </row>
    <row r="274" ht="14.25" customHeight="1" spans="1:5">
      <c r="A274" s="5">
        <v>43968</v>
      </c>
      <c r="B274" s="6" t="s">
        <v>23</v>
      </c>
      <c r="C274" s="6">
        <v>16</v>
      </c>
      <c r="D274" s="6">
        <v>859</v>
      </c>
      <c r="E274" s="6">
        <v>746</v>
      </c>
    </row>
    <row r="275" ht="14.25" customHeight="1" spans="1:5">
      <c r="A275" s="5">
        <v>43968</v>
      </c>
      <c r="B275" s="6" t="s">
        <v>18</v>
      </c>
      <c r="C275" s="6">
        <v>15</v>
      </c>
      <c r="D275" s="6">
        <v>971</v>
      </c>
      <c r="E275" s="6">
        <v>856</v>
      </c>
    </row>
    <row r="276" ht="14.25" customHeight="1" spans="1:5">
      <c r="A276" s="5">
        <v>43968</v>
      </c>
      <c r="B276" s="6" t="s">
        <v>19</v>
      </c>
      <c r="C276" s="6">
        <v>15</v>
      </c>
      <c r="D276" s="6">
        <v>692</v>
      </c>
      <c r="E276" s="6">
        <v>591</v>
      </c>
    </row>
    <row r="277" ht="14.25" customHeight="1" spans="1:5">
      <c r="A277" s="5">
        <v>43968</v>
      </c>
      <c r="B277" s="6" t="s">
        <v>15</v>
      </c>
      <c r="C277" s="6">
        <v>125</v>
      </c>
      <c r="D277" s="6">
        <v>20079</v>
      </c>
      <c r="E277" s="6">
        <v>18721</v>
      </c>
    </row>
    <row r="278" ht="14.25" customHeight="1" spans="1:5">
      <c r="A278" s="5">
        <v>43968</v>
      </c>
      <c r="B278" s="6" t="s">
        <v>14</v>
      </c>
      <c r="C278" s="6">
        <v>129</v>
      </c>
      <c r="D278" s="6">
        <v>15744</v>
      </c>
      <c r="E278" s="6">
        <v>14685</v>
      </c>
    </row>
    <row r="279" ht="14.25" customHeight="1" spans="1:5">
      <c r="A279" s="5">
        <v>43968</v>
      </c>
      <c r="B279" s="6" t="s">
        <v>12</v>
      </c>
      <c r="C279" s="6">
        <v>10</v>
      </c>
      <c r="D279" s="6">
        <v>591</v>
      </c>
      <c r="E279" s="6">
        <v>513</v>
      </c>
    </row>
    <row r="280" ht="14.25" customHeight="1" spans="1:5">
      <c r="A280" s="5">
        <v>43969</v>
      </c>
      <c r="B280" s="6" t="s">
        <v>16</v>
      </c>
      <c r="C280" s="6">
        <v>36</v>
      </c>
      <c r="D280" s="6">
        <v>4885</v>
      </c>
      <c r="E280" s="6">
        <v>4502</v>
      </c>
    </row>
    <row r="281" ht="14.25" customHeight="1" spans="1:5">
      <c r="A281" s="5">
        <v>43969</v>
      </c>
      <c r="B281" s="6" t="s">
        <v>11</v>
      </c>
      <c r="C281" s="6">
        <v>31</v>
      </c>
      <c r="D281" s="6">
        <v>5165</v>
      </c>
      <c r="E281" s="6">
        <v>4813</v>
      </c>
    </row>
    <row r="282" ht="14.25" customHeight="1" spans="1:5">
      <c r="A282" s="5">
        <v>43969</v>
      </c>
      <c r="B282" s="6" t="s">
        <v>17</v>
      </c>
      <c r="C282" s="6">
        <v>21</v>
      </c>
      <c r="D282" s="6">
        <v>2136</v>
      </c>
      <c r="E282" s="6">
        <v>1947</v>
      </c>
    </row>
    <row r="283" ht="14.25" customHeight="1" spans="1:5">
      <c r="A283" s="5">
        <v>43969</v>
      </c>
      <c r="B283" s="6" t="s">
        <v>10</v>
      </c>
      <c r="C283" s="6">
        <v>21</v>
      </c>
      <c r="D283" s="6">
        <v>1834</v>
      </c>
      <c r="E283" s="6">
        <v>1660</v>
      </c>
    </row>
    <row r="284" ht="14.25" customHeight="1" spans="1:5">
      <c r="A284" s="5">
        <v>43969</v>
      </c>
      <c r="B284" s="6" t="s">
        <v>20</v>
      </c>
      <c r="C284" s="6">
        <v>19</v>
      </c>
      <c r="D284" s="6">
        <v>1741</v>
      </c>
      <c r="E284" s="6">
        <v>1597</v>
      </c>
    </row>
    <row r="285" ht="14.25" customHeight="1" spans="1:5">
      <c r="A285" s="5">
        <v>43969</v>
      </c>
      <c r="B285" s="6" t="s">
        <v>22</v>
      </c>
      <c r="C285" s="6">
        <v>54</v>
      </c>
      <c r="D285" s="6">
        <v>12012</v>
      </c>
      <c r="E285" s="6">
        <v>11308</v>
      </c>
    </row>
    <row r="286" ht="14.25" customHeight="1" spans="1:5">
      <c r="A286" s="5">
        <v>43969</v>
      </c>
      <c r="B286" s="6" t="s">
        <v>21</v>
      </c>
      <c r="C286" s="6">
        <v>60</v>
      </c>
      <c r="D286" s="6">
        <v>12460</v>
      </c>
      <c r="E286" s="6">
        <v>11665</v>
      </c>
    </row>
    <row r="287" ht="14.25" customHeight="1" spans="1:5">
      <c r="A287" s="5">
        <v>43969</v>
      </c>
      <c r="B287" s="6" t="s">
        <v>13</v>
      </c>
      <c r="C287" s="6">
        <v>19</v>
      </c>
      <c r="D287" s="6">
        <v>1858</v>
      </c>
      <c r="E287" s="6">
        <v>1648</v>
      </c>
    </row>
    <row r="288" ht="14.25" customHeight="1" spans="1:5">
      <c r="A288" s="5">
        <v>43969</v>
      </c>
      <c r="B288" s="6" t="s">
        <v>23</v>
      </c>
      <c r="C288" s="6">
        <v>16</v>
      </c>
      <c r="D288" s="6">
        <v>864</v>
      </c>
      <c r="E288" s="6">
        <v>765</v>
      </c>
    </row>
    <row r="289" ht="14.25" customHeight="1" spans="1:5">
      <c r="A289" s="5">
        <v>43969</v>
      </c>
      <c r="B289" s="6" t="s">
        <v>18</v>
      </c>
      <c r="C289" s="6">
        <v>16</v>
      </c>
      <c r="D289" s="6">
        <v>925</v>
      </c>
      <c r="E289" s="6">
        <v>816</v>
      </c>
    </row>
    <row r="290" ht="14.25" customHeight="1" spans="1:5">
      <c r="A290" s="5">
        <v>43969</v>
      </c>
      <c r="B290" s="6" t="s">
        <v>19</v>
      </c>
      <c r="C290" s="6">
        <v>15</v>
      </c>
      <c r="D290" s="6">
        <v>729</v>
      </c>
      <c r="E290" s="6">
        <v>636</v>
      </c>
    </row>
    <row r="291" ht="14.25" customHeight="1" spans="1:5">
      <c r="A291" s="5">
        <v>43969</v>
      </c>
      <c r="B291" s="6" t="s">
        <v>15</v>
      </c>
      <c r="C291" s="6">
        <v>125</v>
      </c>
      <c r="D291" s="6">
        <v>20449</v>
      </c>
      <c r="E291" s="6">
        <v>19060</v>
      </c>
    </row>
    <row r="292" ht="14.25" customHeight="1" spans="1:5">
      <c r="A292" s="5">
        <v>43969</v>
      </c>
      <c r="B292" s="6" t="s">
        <v>14</v>
      </c>
      <c r="C292" s="6">
        <v>129</v>
      </c>
      <c r="D292" s="6">
        <v>16110</v>
      </c>
      <c r="E292" s="6">
        <v>14992</v>
      </c>
    </row>
    <row r="293" ht="14.25" customHeight="1" spans="1:5">
      <c r="A293" s="5">
        <v>43969</v>
      </c>
      <c r="B293" s="6" t="s">
        <v>12</v>
      </c>
      <c r="C293" s="6">
        <v>10</v>
      </c>
      <c r="D293" s="6">
        <v>645</v>
      </c>
      <c r="E293" s="6">
        <v>565</v>
      </c>
    </row>
    <row r="294" ht="14.25" customHeight="1" spans="1:5">
      <c r="A294" s="5">
        <v>43970</v>
      </c>
      <c r="B294" s="6" t="s">
        <v>16</v>
      </c>
      <c r="C294" s="6">
        <v>36</v>
      </c>
      <c r="D294" s="6">
        <v>5094</v>
      </c>
      <c r="E294" s="6">
        <v>4716</v>
      </c>
    </row>
    <row r="295" ht="14.25" customHeight="1" spans="1:5">
      <c r="A295" s="5">
        <v>43970</v>
      </c>
      <c r="B295" s="6" t="s">
        <v>11</v>
      </c>
      <c r="C295" s="6">
        <v>31</v>
      </c>
      <c r="D295" s="6">
        <v>5389</v>
      </c>
      <c r="E295" s="6">
        <v>5024</v>
      </c>
    </row>
    <row r="296" ht="14.25" customHeight="1" spans="1:5">
      <c r="A296" s="5">
        <v>43970</v>
      </c>
      <c r="B296" s="6" t="s">
        <v>17</v>
      </c>
      <c r="C296" s="6">
        <v>21</v>
      </c>
      <c r="D296" s="6">
        <v>2245</v>
      </c>
      <c r="E296" s="6">
        <v>2053</v>
      </c>
    </row>
    <row r="297" ht="14.25" customHeight="1" spans="1:5">
      <c r="A297" s="5">
        <v>43970</v>
      </c>
      <c r="B297" s="6" t="s">
        <v>10</v>
      </c>
      <c r="C297" s="6">
        <v>21</v>
      </c>
      <c r="D297" s="6">
        <v>1860</v>
      </c>
      <c r="E297" s="6">
        <v>1704</v>
      </c>
    </row>
    <row r="298" ht="14.25" customHeight="1" spans="1:5">
      <c r="A298" s="5">
        <v>43970</v>
      </c>
      <c r="B298" s="6" t="s">
        <v>20</v>
      </c>
      <c r="C298" s="6">
        <v>19</v>
      </c>
      <c r="D298" s="6">
        <v>1831</v>
      </c>
      <c r="E298" s="6">
        <v>1667</v>
      </c>
    </row>
    <row r="299" ht="14.25" customHeight="1" spans="1:5">
      <c r="A299" s="5">
        <v>43970</v>
      </c>
      <c r="B299" s="6" t="s">
        <v>22</v>
      </c>
      <c r="C299" s="6">
        <v>54</v>
      </c>
      <c r="D299" s="6">
        <v>13070</v>
      </c>
      <c r="E299" s="6">
        <v>12244</v>
      </c>
    </row>
    <row r="300" ht="14.25" customHeight="1" spans="1:5">
      <c r="A300" s="5">
        <v>43970</v>
      </c>
      <c r="B300" s="6" t="s">
        <v>21</v>
      </c>
      <c r="C300" s="6">
        <v>60</v>
      </c>
      <c r="D300" s="6">
        <v>13867</v>
      </c>
      <c r="E300" s="6">
        <v>12987</v>
      </c>
    </row>
    <row r="301" ht="14.25" customHeight="1" spans="1:5">
      <c r="A301" s="5">
        <v>43970</v>
      </c>
      <c r="B301" s="6" t="s">
        <v>13</v>
      </c>
      <c r="C301" s="6">
        <v>19</v>
      </c>
      <c r="D301" s="6">
        <v>1999</v>
      </c>
      <c r="E301" s="6">
        <v>1799</v>
      </c>
    </row>
    <row r="302" ht="14.25" customHeight="1" spans="1:5">
      <c r="A302" s="5">
        <v>43970</v>
      </c>
      <c r="B302" s="6" t="s">
        <v>23</v>
      </c>
      <c r="C302" s="6">
        <v>17</v>
      </c>
      <c r="D302" s="6">
        <v>857</v>
      </c>
      <c r="E302" s="6">
        <v>757</v>
      </c>
    </row>
    <row r="303" ht="14.25" customHeight="1" spans="1:5">
      <c r="A303" s="5">
        <v>43970</v>
      </c>
      <c r="B303" s="6" t="s">
        <v>18</v>
      </c>
      <c r="C303" s="6">
        <v>16</v>
      </c>
      <c r="D303" s="6">
        <v>1012</v>
      </c>
      <c r="E303" s="6">
        <v>900</v>
      </c>
    </row>
    <row r="304" ht="14.25" customHeight="1" spans="1:5">
      <c r="A304" s="5">
        <v>43970</v>
      </c>
      <c r="B304" s="6" t="s">
        <v>19</v>
      </c>
      <c r="C304" s="6">
        <v>15</v>
      </c>
      <c r="D304" s="6">
        <v>930</v>
      </c>
      <c r="E304" s="6">
        <v>827</v>
      </c>
    </row>
    <row r="305" ht="14.25" customHeight="1" spans="1:5">
      <c r="A305" s="5">
        <v>43970</v>
      </c>
      <c r="B305" s="6" t="s">
        <v>15</v>
      </c>
      <c r="C305" s="6">
        <v>125</v>
      </c>
      <c r="D305" s="6">
        <v>20771</v>
      </c>
      <c r="E305" s="6">
        <v>19338</v>
      </c>
    </row>
    <row r="306" ht="14.25" customHeight="1" spans="1:5">
      <c r="A306" s="5">
        <v>43970</v>
      </c>
      <c r="B306" s="6" t="s">
        <v>14</v>
      </c>
      <c r="C306" s="6">
        <v>129</v>
      </c>
      <c r="D306" s="6">
        <v>16191</v>
      </c>
      <c r="E306" s="6">
        <v>15102</v>
      </c>
    </row>
    <row r="307" ht="14.25" customHeight="1" spans="1:5">
      <c r="A307" s="5">
        <v>43970</v>
      </c>
      <c r="B307" s="6" t="s">
        <v>12</v>
      </c>
      <c r="C307" s="6">
        <v>10</v>
      </c>
      <c r="D307" s="6">
        <v>649</v>
      </c>
      <c r="E307" s="6">
        <v>568</v>
      </c>
    </row>
    <row r="308" ht="14.25" customHeight="1" spans="1:5">
      <c r="A308" s="5">
        <v>43971</v>
      </c>
      <c r="B308" s="6" t="s">
        <v>16</v>
      </c>
      <c r="C308" s="6">
        <v>36</v>
      </c>
      <c r="D308" s="6">
        <v>5914</v>
      </c>
      <c r="E308" s="6">
        <v>5384</v>
      </c>
    </row>
    <row r="309" ht="14.25" customHeight="1" spans="1:5">
      <c r="A309" s="5">
        <v>43971</v>
      </c>
      <c r="B309" s="6" t="s">
        <v>11</v>
      </c>
      <c r="C309" s="6">
        <v>31</v>
      </c>
      <c r="D309" s="6">
        <v>5698</v>
      </c>
      <c r="E309" s="6">
        <v>5258</v>
      </c>
    </row>
    <row r="310" ht="14.25" customHeight="1" spans="1:5">
      <c r="A310" s="5">
        <v>43971</v>
      </c>
      <c r="B310" s="6" t="s">
        <v>17</v>
      </c>
      <c r="C310" s="6">
        <v>21</v>
      </c>
      <c r="D310" s="6">
        <v>2410</v>
      </c>
      <c r="E310" s="6">
        <v>2202</v>
      </c>
    </row>
    <row r="311" ht="14.25" customHeight="1" spans="1:5">
      <c r="A311" s="5">
        <v>43971</v>
      </c>
      <c r="B311" s="6" t="s">
        <v>10</v>
      </c>
      <c r="C311" s="6">
        <v>21</v>
      </c>
      <c r="D311" s="6">
        <v>1921</v>
      </c>
      <c r="E311" s="6">
        <v>1767</v>
      </c>
    </row>
    <row r="312" ht="14.25" customHeight="1" spans="1:5">
      <c r="A312" s="5">
        <v>43971</v>
      </c>
      <c r="B312" s="6" t="s">
        <v>20</v>
      </c>
      <c r="C312" s="6">
        <v>19</v>
      </c>
      <c r="D312" s="6">
        <v>1823</v>
      </c>
      <c r="E312" s="6">
        <v>1678</v>
      </c>
    </row>
    <row r="313" ht="14.25" customHeight="1" spans="1:5">
      <c r="A313" s="5">
        <v>43971</v>
      </c>
      <c r="B313" s="6" t="s">
        <v>22</v>
      </c>
      <c r="C313" s="6">
        <v>54</v>
      </c>
      <c r="D313" s="6">
        <v>13298</v>
      </c>
      <c r="E313" s="6">
        <v>12428</v>
      </c>
    </row>
    <row r="314" ht="14.25" customHeight="1" spans="1:5">
      <c r="A314" s="5">
        <v>43971</v>
      </c>
      <c r="B314" s="6" t="s">
        <v>21</v>
      </c>
      <c r="C314" s="6">
        <v>60</v>
      </c>
      <c r="D314" s="6">
        <v>13792</v>
      </c>
      <c r="E314" s="6">
        <v>12834</v>
      </c>
    </row>
    <row r="315" ht="14.25" customHeight="1" spans="1:5">
      <c r="A315" s="5">
        <v>43971</v>
      </c>
      <c r="B315" s="6" t="s">
        <v>13</v>
      </c>
      <c r="C315" s="6">
        <v>19</v>
      </c>
      <c r="D315" s="6">
        <v>1889</v>
      </c>
      <c r="E315" s="6">
        <v>1690</v>
      </c>
    </row>
    <row r="316" ht="14.25" customHeight="1" spans="1:5">
      <c r="A316" s="5">
        <v>43971</v>
      </c>
      <c r="B316" s="6" t="s">
        <v>23</v>
      </c>
      <c r="C316" s="6">
        <v>17</v>
      </c>
      <c r="D316" s="6">
        <v>890</v>
      </c>
      <c r="E316" s="6">
        <v>794</v>
      </c>
    </row>
    <row r="317" ht="14.25" customHeight="1" spans="1:5">
      <c r="A317" s="5">
        <v>43971</v>
      </c>
      <c r="B317" s="6" t="s">
        <v>18</v>
      </c>
      <c r="C317" s="6">
        <v>16</v>
      </c>
      <c r="D317" s="6">
        <v>1050</v>
      </c>
      <c r="E317" s="6">
        <v>938</v>
      </c>
    </row>
    <row r="318" ht="14.25" customHeight="1" spans="1:5">
      <c r="A318" s="5">
        <v>43971</v>
      </c>
      <c r="B318" s="6" t="s">
        <v>19</v>
      </c>
      <c r="C318" s="6">
        <v>15</v>
      </c>
      <c r="D318" s="6">
        <v>760</v>
      </c>
      <c r="E318" s="6">
        <v>664</v>
      </c>
    </row>
    <row r="319" ht="14.25" customHeight="1" spans="1:5">
      <c r="A319" s="5">
        <v>43971</v>
      </c>
      <c r="B319" s="6" t="s">
        <v>15</v>
      </c>
      <c r="C319" s="6">
        <v>125</v>
      </c>
      <c r="D319" s="6">
        <v>21674</v>
      </c>
      <c r="E319" s="6">
        <v>20155</v>
      </c>
    </row>
    <row r="320" ht="14.25" customHeight="1" spans="1:5">
      <c r="A320" s="5">
        <v>43971</v>
      </c>
      <c r="B320" s="6" t="s">
        <v>14</v>
      </c>
      <c r="C320" s="6">
        <v>129</v>
      </c>
      <c r="D320" s="6">
        <v>17095</v>
      </c>
      <c r="E320" s="6">
        <v>15919</v>
      </c>
    </row>
    <row r="321" ht="14.25" customHeight="1" spans="1:5">
      <c r="A321" s="5">
        <v>43971</v>
      </c>
      <c r="B321" s="6" t="s">
        <v>12</v>
      </c>
      <c r="C321" s="6">
        <v>10</v>
      </c>
      <c r="D321" s="6">
        <v>745</v>
      </c>
      <c r="E321" s="6">
        <v>654</v>
      </c>
    </row>
    <row r="322" ht="14.25" customHeight="1" spans="1:5">
      <c r="A322" s="5">
        <v>43972</v>
      </c>
      <c r="B322" s="6" t="s">
        <v>16</v>
      </c>
      <c r="C322" s="6">
        <v>36</v>
      </c>
      <c r="D322" s="6">
        <v>4816</v>
      </c>
      <c r="E322" s="6">
        <v>4452</v>
      </c>
    </row>
    <row r="323" ht="14.25" customHeight="1" spans="1:5">
      <c r="A323" s="5">
        <v>43972</v>
      </c>
      <c r="B323" s="6" t="s">
        <v>11</v>
      </c>
      <c r="C323" s="6">
        <v>31</v>
      </c>
      <c r="D323" s="6">
        <v>5207</v>
      </c>
      <c r="E323" s="6">
        <v>4868</v>
      </c>
    </row>
    <row r="324" ht="14.25" customHeight="1" spans="1:5">
      <c r="A324" s="5">
        <v>43972</v>
      </c>
      <c r="B324" s="6" t="s">
        <v>17</v>
      </c>
      <c r="C324" s="6">
        <v>21</v>
      </c>
      <c r="D324" s="6">
        <v>2335</v>
      </c>
      <c r="E324" s="6">
        <v>2126</v>
      </c>
    </row>
    <row r="325" ht="14.25" customHeight="1" spans="1:5">
      <c r="A325" s="5">
        <v>43972</v>
      </c>
      <c r="B325" s="6" t="s">
        <v>10</v>
      </c>
      <c r="C325" s="6">
        <v>21</v>
      </c>
      <c r="D325" s="6">
        <v>1787</v>
      </c>
      <c r="E325" s="6">
        <v>1626</v>
      </c>
    </row>
    <row r="326" ht="14.25" customHeight="1" spans="1:5">
      <c r="A326" s="5">
        <v>43972</v>
      </c>
      <c r="B326" s="6" t="s">
        <v>20</v>
      </c>
      <c r="C326" s="6">
        <v>19</v>
      </c>
      <c r="D326" s="6">
        <v>1650</v>
      </c>
      <c r="E326" s="6">
        <v>1505</v>
      </c>
    </row>
    <row r="327" ht="14.25" customHeight="1" spans="1:5">
      <c r="A327" s="5">
        <v>43972</v>
      </c>
      <c r="B327" s="6" t="s">
        <v>22</v>
      </c>
      <c r="C327" s="6">
        <v>54</v>
      </c>
      <c r="D327" s="6">
        <v>13240</v>
      </c>
      <c r="E327" s="6">
        <v>12360</v>
      </c>
    </row>
    <row r="328" ht="14.25" customHeight="1" spans="1:5">
      <c r="A328" s="5">
        <v>43972</v>
      </c>
      <c r="B328" s="6" t="s">
        <v>21</v>
      </c>
      <c r="C328" s="6">
        <v>60</v>
      </c>
      <c r="D328" s="6">
        <v>14005</v>
      </c>
      <c r="E328" s="6">
        <v>13002</v>
      </c>
    </row>
    <row r="329" ht="14.25" customHeight="1" spans="1:5">
      <c r="A329" s="5">
        <v>43972</v>
      </c>
      <c r="B329" s="6" t="s">
        <v>13</v>
      </c>
      <c r="C329" s="6">
        <v>19</v>
      </c>
      <c r="D329" s="6">
        <v>1949</v>
      </c>
      <c r="E329" s="6">
        <v>1724</v>
      </c>
    </row>
    <row r="330" ht="14.25" customHeight="1" spans="1:5">
      <c r="A330" s="5">
        <v>43972</v>
      </c>
      <c r="B330" s="6" t="s">
        <v>23</v>
      </c>
      <c r="C330" s="6">
        <v>18</v>
      </c>
      <c r="D330" s="6">
        <v>888</v>
      </c>
      <c r="E330" s="6">
        <v>786</v>
      </c>
    </row>
    <row r="331" ht="14.25" customHeight="1" spans="1:5">
      <c r="A331" s="5">
        <v>43972</v>
      </c>
      <c r="B331" s="6" t="s">
        <v>18</v>
      </c>
      <c r="C331" s="6">
        <v>17</v>
      </c>
      <c r="D331" s="6">
        <v>1045</v>
      </c>
      <c r="E331" s="6">
        <v>930</v>
      </c>
    </row>
    <row r="332" ht="14.25" customHeight="1" spans="1:5">
      <c r="A332" s="5">
        <v>43972</v>
      </c>
      <c r="B332" s="6" t="s">
        <v>19</v>
      </c>
      <c r="C332" s="6">
        <v>15</v>
      </c>
      <c r="D332" s="6">
        <v>749</v>
      </c>
      <c r="E332" s="6">
        <v>652</v>
      </c>
    </row>
    <row r="333" ht="14.25" customHeight="1" spans="1:5">
      <c r="A333" s="5">
        <v>43972</v>
      </c>
      <c r="B333" s="6" t="s">
        <v>15</v>
      </c>
      <c r="C333" s="6">
        <v>125</v>
      </c>
      <c r="D333" s="6">
        <v>20911</v>
      </c>
      <c r="E333" s="6">
        <v>19358</v>
      </c>
    </row>
    <row r="334" ht="14.25" customHeight="1" spans="1:5">
      <c r="A334" s="5">
        <v>43972</v>
      </c>
      <c r="B334" s="6" t="s">
        <v>14</v>
      </c>
      <c r="C334" s="6">
        <v>129</v>
      </c>
      <c r="D334" s="6">
        <v>16373</v>
      </c>
      <c r="E334" s="6">
        <v>15223</v>
      </c>
    </row>
    <row r="335" ht="14.25" customHeight="1" spans="1:5">
      <c r="A335" s="5">
        <v>43972</v>
      </c>
      <c r="B335" s="6" t="s">
        <v>12</v>
      </c>
      <c r="C335" s="6">
        <v>10</v>
      </c>
      <c r="D335" s="6">
        <v>677</v>
      </c>
      <c r="E335" s="6">
        <v>591</v>
      </c>
    </row>
    <row r="336" ht="14.25" customHeight="1" spans="1:5">
      <c r="A336" s="5">
        <v>43973</v>
      </c>
      <c r="B336" s="6" t="s">
        <v>16</v>
      </c>
      <c r="C336" s="6">
        <v>36</v>
      </c>
      <c r="D336" s="6">
        <v>4857</v>
      </c>
      <c r="E336" s="6">
        <v>4456</v>
      </c>
    </row>
    <row r="337" ht="14.25" customHeight="1" spans="1:5">
      <c r="A337" s="5">
        <v>43973</v>
      </c>
      <c r="B337" s="6" t="s">
        <v>11</v>
      </c>
      <c r="C337" s="6">
        <v>31</v>
      </c>
      <c r="D337" s="6">
        <v>5965</v>
      </c>
      <c r="E337" s="6">
        <v>5533</v>
      </c>
    </row>
    <row r="338" ht="14.25" customHeight="1" spans="1:5">
      <c r="A338" s="5">
        <v>43973</v>
      </c>
      <c r="B338" s="6" t="s">
        <v>17</v>
      </c>
      <c r="C338" s="6">
        <v>21</v>
      </c>
      <c r="D338" s="6">
        <v>2861</v>
      </c>
      <c r="E338" s="6">
        <v>2612</v>
      </c>
    </row>
    <row r="339" ht="14.25" customHeight="1" spans="1:5">
      <c r="A339" s="5">
        <v>43973</v>
      </c>
      <c r="B339" s="6" t="s">
        <v>10</v>
      </c>
      <c r="C339" s="6">
        <v>21</v>
      </c>
      <c r="D339" s="6">
        <v>2046</v>
      </c>
      <c r="E339" s="6">
        <v>1853</v>
      </c>
    </row>
    <row r="340" ht="14.25" customHeight="1" spans="1:5">
      <c r="A340" s="5">
        <v>43973</v>
      </c>
      <c r="B340" s="6" t="s">
        <v>20</v>
      </c>
      <c r="C340" s="6">
        <v>19</v>
      </c>
      <c r="D340" s="6">
        <v>1859</v>
      </c>
      <c r="E340" s="6">
        <v>1697</v>
      </c>
    </row>
    <row r="341" ht="14.25" customHeight="1" spans="1:5">
      <c r="A341" s="5">
        <v>43973</v>
      </c>
      <c r="B341" s="6" t="s">
        <v>22</v>
      </c>
      <c r="C341" s="6">
        <v>54</v>
      </c>
      <c r="D341" s="6">
        <v>13014</v>
      </c>
      <c r="E341" s="6">
        <v>12095</v>
      </c>
    </row>
    <row r="342" ht="14.25" customHeight="1" spans="1:5">
      <c r="A342" s="5">
        <v>43973</v>
      </c>
      <c r="B342" s="6" t="s">
        <v>21</v>
      </c>
      <c r="C342" s="6">
        <v>60</v>
      </c>
      <c r="D342" s="6">
        <v>14050</v>
      </c>
      <c r="E342" s="6">
        <v>13027</v>
      </c>
    </row>
    <row r="343" ht="14.25" customHeight="1" spans="1:5">
      <c r="A343" s="5">
        <v>43973</v>
      </c>
      <c r="B343" s="6" t="s">
        <v>13</v>
      </c>
      <c r="C343" s="6">
        <v>20</v>
      </c>
      <c r="D343" s="6">
        <v>2306</v>
      </c>
      <c r="E343" s="6">
        <v>2054</v>
      </c>
    </row>
    <row r="344" ht="14.25" customHeight="1" spans="1:5">
      <c r="A344" s="5">
        <v>43973</v>
      </c>
      <c r="B344" s="6" t="s">
        <v>23</v>
      </c>
      <c r="C344" s="6">
        <v>18</v>
      </c>
      <c r="D344" s="6">
        <v>985</v>
      </c>
      <c r="E344" s="6">
        <v>861</v>
      </c>
    </row>
    <row r="345" ht="14.25" customHeight="1" spans="1:5">
      <c r="A345" s="5">
        <v>43973</v>
      </c>
      <c r="B345" s="6" t="s">
        <v>18</v>
      </c>
      <c r="C345" s="6">
        <v>17</v>
      </c>
      <c r="D345" s="6">
        <v>1268</v>
      </c>
      <c r="E345" s="6">
        <v>1129</v>
      </c>
    </row>
    <row r="346" ht="14.25" customHeight="1" spans="1:5">
      <c r="A346" s="5">
        <v>43973</v>
      </c>
      <c r="B346" s="6" t="s">
        <v>19</v>
      </c>
      <c r="C346" s="6">
        <v>15</v>
      </c>
      <c r="D346" s="6">
        <v>903</v>
      </c>
      <c r="E346" s="6">
        <v>792</v>
      </c>
    </row>
    <row r="347" ht="14.25" customHeight="1" spans="1:5">
      <c r="A347" s="5">
        <v>43973</v>
      </c>
      <c r="B347" s="6" t="s">
        <v>15</v>
      </c>
      <c r="C347" s="6">
        <v>125</v>
      </c>
      <c r="D347" s="6">
        <v>21427</v>
      </c>
      <c r="E347" s="6">
        <v>19799</v>
      </c>
    </row>
    <row r="348" ht="14.25" customHeight="1" spans="1:5">
      <c r="A348" s="5">
        <v>43973</v>
      </c>
      <c r="B348" s="6" t="s">
        <v>14</v>
      </c>
      <c r="C348" s="6">
        <v>129</v>
      </c>
      <c r="D348" s="6">
        <v>17088</v>
      </c>
      <c r="E348" s="6">
        <v>15804</v>
      </c>
    </row>
    <row r="349" ht="14.25" customHeight="1" spans="1:5">
      <c r="A349" s="5">
        <v>43973</v>
      </c>
      <c r="B349" s="6" t="s">
        <v>12</v>
      </c>
      <c r="C349" s="6">
        <v>10</v>
      </c>
      <c r="D349" s="6">
        <v>965</v>
      </c>
      <c r="E349" s="6">
        <v>861</v>
      </c>
    </row>
    <row r="350" ht="14.25" customHeight="1" spans="1:5">
      <c r="A350" s="5">
        <v>43974</v>
      </c>
      <c r="B350" s="6" t="s">
        <v>16</v>
      </c>
      <c r="C350" s="6">
        <v>36</v>
      </c>
      <c r="D350" s="6">
        <v>5651</v>
      </c>
      <c r="E350" s="6">
        <v>5212</v>
      </c>
    </row>
    <row r="351" ht="14.25" customHeight="1" spans="1:5">
      <c r="A351" s="5">
        <v>43974</v>
      </c>
      <c r="B351" s="6" t="s">
        <v>11</v>
      </c>
      <c r="C351" s="6">
        <v>31</v>
      </c>
      <c r="D351" s="6">
        <v>6276</v>
      </c>
      <c r="E351" s="6">
        <v>5801</v>
      </c>
    </row>
    <row r="352" ht="14.25" customHeight="1" spans="1:5">
      <c r="A352" s="5">
        <v>43974</v>
      </c>
      <c r="B352" s="6" t="s">
        <v>17</v>
      </c>
      <c r="C352" s="6">
        <v>21</v>
      </c>
      <c r="D352" s="6">
        <v>2460</v>
      </c>
      <c r="E352" s="6">
        <v>2226</v>
      </c>
    </row>
    <row r="353" ht="14.25" customHeight="1" spans="1:5">
      <c r="A353" s="5">
        <v>43974</v>
      </c>
      <c r="B353" s="6" t="s">
        <v>10</v>
      </c>
      <c r="C353" s="6">
        <v>21</v>
      </c>
      <c r="D353" s="6">
        <v>2340</v>
      </c>
      <c r="E353" s="6">
        <v>2146</v>
      </c>
    </row>
    <row r="354" ht="14.25" customHeight="1" spans="1:5">
      <c r="A354" s="5">
        <v>43974</v>
      </c>
      <c r="B354" s="6" t="s">
        <v>20</v>
      </c>
      <c r="C354" s="6">
        <v>19</v>
      </c>
      <c r="D354" s="6">
        <v>2195</v>
      </c>
      <c r="E354" s="6">
        <v>1999</v>
      </c>
    </row>
    <row r="355" ht="14.25" customHeight="1" spans="1:5">
      <c r="A355" s="5">
        <v>43974</v>
      </c>
      <c r="B355" s="6" t="s">
        <v>22</v>
      </c>
      <c r="C355" s="6">
        <v>54</v>
      </c>
      <c r="D355" s="6">
        <v>16221</v>
      </c>
      <c r="E355" s="6">
        <v>15065</v>
      </c>
    </row>
    <row r="356" ht="14.25" customHeight="1" spans="1:5">
      <c r="A356" s="5">
        <v>43974</v>
      </c>
      <c r="B356" s="6" t="s">
        <v>21</v>
      </c>
      <c r="C356" s="6">
        <v>60</v>
      </c>
      <c r="D356" s="6">
        <v>17295</v>
      </c>
      <c r="E356" s="6">
        <v>16010</v>
      </c>
    </row>
    <row r="357" ht="14.25" customHeight="1" spans="1:5">
      <c r="A357" s="5">
        <v>43974</v>
      </c>
      <c r="B357" s="6" t="s">
        <v>13</v>
      </c>
      <c r="C357" s="6">
        <v>20</v>
      </c>
      <c r="D357" s="6">
        <v>2266</v>
      </c>
      <c r="E357" s="6">
        <v>1993</v>
      </c>
    </row>
    <row r="358" ht="14.25" customHeight="1" spans="1:5">
      <c r="A358" s="5">
        <v>43974</v>
      </c>
      <c r="B358" s="6" t="s">
        <v>23</v>
      </c>
      <c r="C358" s="6">
        <v>18</v>
      </c>
      <c r="D358" s="6">
        <v>1031</v>
      </c>
      <c r="E358" s="6">
        <v>918</v>
      </c>
    </row>
    <row r="359" ht="14.25" customHeight="1" spans="1:5">
      <c r="A359" s="5">
        <v>43974</v>
      </c>
      <c r="B359" s="6" t="s">
        <v>18</v>
      </c>
      <c r="C359" s="6">
        <v>17</v>
      </c>
      <c r="D359" s="6">
        <v>1294</v>
      </c>
      <c r="E359" s="6">
        <v>1155</v>
      </c>
    </row>
    <row r="360" ht="14.25" customHeight="1" spans="1:5">
      <c r="A360" s="5">
        <v>43974</v>
      </c>
      <c r="B360" s="6" t="s">
        <v>19</v>
      </c>
      <c r="C360" s="6">
        <v>15</v>
      </c>
      <c r="D360" s="6">
        <v>840</v>
      </c>
      <c r="E360" s="6">
        <v>725</v>
      </c>
    </row>
    <row r="361" ht="14.25" customHeight="1" spans="1:5">
      <c r="A361" s="5">
        <v>43974</v>
      </c>
      <c r="B361" s="6" t="s">
        <v>15</v>
      </c>
      <c r="C361" s="6">
        <v>125</v>
      </c>
      <c r="D361" s="6">
        <v>24574</v>
      </c>
      <c r="E361" s="6">
        <v>22609</v>
      </c>
    </row>
    <row r="362" ht="14.25" customHeight="1" spans="1:5">
      <c r="A362" s="5">
        <v>43974</v>
      </c>
      <c r="B362" s="6" t="s">
        <v>14</v>
      </c>
      <c r="C362" s="6">
        <v>129</v>
      </c>
      <c r="D362" s="6">
        <v>19856</v>
      </c>
      <c r="E362" s="6">
        <v>18325</v>
      </c>
    </row>
    <row r="363" ht="14.25" customHeight="1" spans="1:5">
      <c r="A363" s="5">
        <v>43974</v>
      </c>
      <c r="B363" s="6" t="s">
        <v>12</v>
      </c>
      <c r="C363" s="6">
        <v>10</v>
      </c>
      <c r="D363" s="6">
        <v>828</v>
      </c>
      <c r="E363" s="6">
        <v>734</v>
      </c>
    </row>
    <row r="364" ht="14.25" customHeight="1" spans="1:5">
      <c r="A364" s="5">
        <v>43975</v>
      </c>
      <c r="B364" s="6" t="s">
        <v>16</v>
      </c>
      <c r="C364" s="6">
        <v>36</v>
      </c>
      <c r="D364" s="6">
        <v>4915</v>
      </c>
      <c r="E364" s="6">
        <v>4562</v>
      </c>
    </row>
    <row r="365" ht="14.25" customHeight="1" spans="1:5">
      <c r="A365" s="5">
        <v>43975</v>
      </c>
      <c r="B365" s="6" t="s">
        <v>11</v>
      </c>
      <c r="C365" s="6">
        <v>31</v>
      </c>
      <c r="D365" s="6">
        <v>5035</v>
      </c>
      <c r="E365" s="6">
        <v>4683</v>
      </c>
    </row>
    <row r="366" ht="14.25" customHeight="1" spans="1:5">
      <c r="A366" s="5">
        <v>43975</v>
      </c>
      <c r="B366" s="6" t="s">
        <v>17</v>
      </c>
      <c r="C366" s="6">
        <v>21</v>
      </c>
      <c r="D366" s="6">
        <v>2254</v>
      </c>
      <c r="E366" s="6">
        <v>2061</v>
      </c>
    </row>
    <row r="367" ht="14.25" customHeight="1" spans="1:5">
      <c r="A367" s="5">
        <v>43975</v>
      </c>
      <c r="B367" s="6" t="s">
        <v>10</v>
      </c>
      <c r="C367" s="6">
        <v>20</v>
      </c>
      <c r="D367" s="6">
        <v>1999</v>
      </c>
      <c r="E367" s="6">
        <v>1829</v>
      </c>
    </row>
    <row r="368" ht="14.25" customHeight="1" spans="1:5">
      <c r="A368" s="5">
        <v>43975</v>
      </c>
      <c r="B368" s="6" t="s">
        <v>20</v>
      </c>
      <c r="C368" s="6">
        <v>19</v>
      </c>
      <c r="D368" s="6">
        <v>1868</v>
      </c>
      <c r="E368" s="6">
        <v>1706</v>
      </c>
    </row>
    <row r="369" ht="14.25" customHeight="1" spans="1:5">
      <c r="A369" s="5">
        <v>43975</v>
      </c>
      <c r="B369" s="6" t="s">
        <v>22</v>
      </c>
      <c r="C369" s="6">
        <v>54</v>
      </c>
      <c r="D369" s="6">
        <v>12211</v>
      </c>
      <c r="E369" s="6">
        <v>11427</v>
      </c>
    </row>
    <row r="370" ht="14.25" customHeight="1" spans="1:5">
      <c r="A370" s="5">
        <v>43975</v>
      </c>
      <c r="B370" s="6" t="s">
        <v>21</v>
      </c>
      <c r="C370" s="6">
        <v>60</v>
      </c>
      <c r="D370" s="6">
        <v>12822</v>
      </c>
      <c r="E370" s="6">
        <v>11916</v>
      </c>
    </row>
    <row r="371" ht="14.25" customHeight="1" spans="1:5">
      <c r="A371" s="5">
        <v>43975</v>
      </c>
      <c r="B371" s="6" t="s">
        <v>13</v>
      </c>
      <c r="C371" s="6">
        <v>20</v>
      </c>
      <c r="D371" s="6">
        <v>2015</v>
      </c>
      <c r="E371" s="6">
        <v>1803</v>
      </c>
    </row>
    <row r="372" ht="14.25" customHeight="1" spans="1:5">
      <c r="A372" s="5">
        <v>43975</v>
      </c>
      <c r="B372" s="6" t="s">
        <v>23</v>
      </c>
      <c r="C372" s="6">
        <v>18</v>
      </c>
      <c r="D372" s="6">
        <v>1006</v>
      </c>
      <c r="E372" s="6">
        <v>904</v>
      </c>
    </row>
    <row r="373" ht="14.25" customHeight="1" spans="1:5">
      <c r="A373" s="5">
        <v>43975</v>
      </c>
      <c r="B373" s="6" t="s">
        <v>18</v>
      </c>
      <c r="C373" s="6">
        <v>17</v>
      </c>
      <c r="D373" s="6">
        <v>1128</v>
      </c>
      <c r="E373" s="6">
        <v>1001</v>
      </c>
    </row>
    <row r="374" ht="14.25" customHeight="1" spans="1:5">
      <c r="A374" s="5">
        <v>43975</v>
      </c>
      <c r="B374" s="6" t="s">
        <v>19</v>
      </c>
      <c r="C374" s="6">
        <v>15</v>
      </c>
      <c r="D374" s="6">
        <v>779</v>
      </c>
      <c r="E374" s="6">
        <v>673</v>
      </c>
    </row>
    <row r="375" ht="14.25" customHeight="1" spans="1:5">
      <c r="A375" s="5">
        <v>43975</v>
      </c>
      <c r="B375" s="6" t="s">
        <v>15</v>
      </c>
      <c r="C375" s="6">
        <v>125</v>
      </c>
      <c r="D375" s="6">
        <v>21004</v>
      </c>
      <c r="E375" s="6">
        <v>19556</v>
      </c>
    </row>
    <row r="376" ht="14.25" customHeight="1" spans="1:5">
      <c r="A376" s="5">
        <v>43975</v>
      </c>
      <c r="B376" s="6" t="s">
        <v>14</v>
      </c>
      <c r="C376" s="6">
        <v>129</v>
      </c>
      <c r="D376" s="6">
        <v>16432</v>
      </c>
      <c r="E376" s="6">
        <v>15345</v>
      </c>
    </row>
    <row r="377" ht="14.25" customHeight="1" spans="1:5">
      <c r="A377" s="5">
        <v>43975</v>
      </c>
      <c r="B377" s="6" t="s">
        <v>12</v>
      </c>
      <c r="C377" s="6">
        <v>10</v>
      </c>
      <c r="D377" s="6">
        <v>639</v>
      </c>
      <c r="E377" s="6">
        <v>557</v>
      </c>
    </row>
    <row r="378" ht="14.25" customHeight="1" spans="1:5">
      <c r="A378" s="5">
        <v>43976</v>
      </c>
      <c r="B378" s="6" t="s">
        <v>16</v>
      </c>
      <c r="C378" s="6">
        <v>36</v>
      </c>
      <c r="D378" s="6">
        <v>4641</v>
      </c>
      <c r="E378" s="6">
        <v>4274</v>
      </c>
    </row>
    <row r="379" ht="14.25" customHeight="1" spans="1:5">
      <c r="A379" s="5">
        <v>43976</v>
      </c>
      <c r="B379" s="6" t="s">
        <v>11</v>
      </c>
      <c r="C379" s="6">
        <v>31</v>
      </c>
      <c r="D379" s="6">
        <v>5210</v>
      </c>
      <c r="E379" s="6">
        <v>4841</v>
      </c>
    </row>
    <row r="380" ht="14.25" customHeight="1" spans="1:5">
      <c r="A380" s="5">
        <v>43976</v>
      </c>
      <c r="B380" s="6" t="s">
        <v>17</v>
      </c>
      <c r="C380" s="6">
        <v>21</v>
      </c>
      <c r="D380" s="6">
        <v>2330</v>
      </c>
      <c r="E380" s="6">
        <v>2142</v>
      </c>
    </row>
    <row r="381" ht="14.25" customHeight="1" spans="1:5">
      <c r="A381" s="5">
        <v>43976</v>
      </c>
      <c r="B381" s="6" t="s">
        <v>10</v>
      </c>
      <c r="C381" s="6">
        <v>20</v>
      </c>
      <c r="D381" s="6">
        <v>2087</v>
      </c>
      <c r="E381" s="6">
        <v>1914</v>
      </c>
    </row>
    <row r="382" ht="14.25" customHeight="1" spans="1:5">
      <c r="A382" s="5">
        <v>43976</v>
      </c>
      <c r="B382" s="6" t="s">
        <v>20</v>
      </c>
      <c r="C382" s="6">
        <v>20</v>
      </c>
      <c r="D382" s="6">
        <v>1899</v>
      </c>
      <c r="E382" s="6">
        <v>1738</v>
      </c>
    </row>
    <row r="383" ht="14.25" customHeight="1" spans="1:5">
      <c r="A383" s="5">
        <v>43976</v>
      </c>
      <c r="B383" s="6" t="s">
        <v>22</v>
      </c>
      <c r="C383" s="6">
        <v>54</v>
      </c>
      <c r="D383" s="6">
        <v>12336</v>
      </c>
      <c r="E383" s="6">
        <v>11519</v>
      </c>
    </row>
    <row r="384" ht="14.25" customHeight="1" spans="1:5">
      <c r="A384" s="5">
        <v>43976</v>
      </c>
      <c r="B384" s="6" t="s">
        <v>21</v>
      </c>
      <c r="C384" s="6">
        <v>59</v>
      </c>
      <c r="D384" s="6">
        <v>12983</v>
      </c>
      <c r="E384" s="6">
        <v>12056</v>
      </c>
    </row>
    <row r="385" ht="14.25" customHeight="1" spans="1:5">
      <c r="A385" s="5">
        <v>43976</v>
      </c>
      <c r="B385" s="6" t="s">
        <v>13</v>
      </c>
      <c r="C385" s="6">
        <v>20</v>
      </c>
      <c r="D385" s="6">
        <v>2011</v>
      </c>
      <c r="E385" s="6">
        <v>1791</v>
      </c>
    </row>
    <row r="386" ht="14.25" customHeight="1" spans="1:5">
      <c r="A386" s="5">
        <v>43976</v>
      </c>
      <c r="B386" s="6" t="s">
        <v>23</v>
      </c>
      <c r="C386" s="6">
        <v>18</v>
      </c>
      <c r="D386" s="6">
        <v>989</v>
      </c>
      <c r="E386" s="6">
        <v>887</v>
      </c>
    </row>
    <row r="387" ht="14.25" customHeight="1" spans="1:5">
      <c r="A387" s="5">
        <v>43976</v>
      </c>
      <c r="B387" s="6" t="s">
        <v>18</v>
      </c>
      <c r="C387" s="6">
        <v>17</v>
      </c>
      <c r="D387" s="6">
        <v>1142</v>
      </c>
      <c r="E387" s="6">
        <v>1020</v>
      </c>
    </row>
    <row r="388" ht="14.25" customHeight="1" spans="1:5">
      <c r="A388" s="5">
        <v>43976</v>
      </c>
      <c r="B388" s="6" t="s">
        <v>19</v>
      </c>
      <c r="C388" s="6">
        <v>15</v>
      </c>
      <c r="D388" s="6">
        <v>835</v>
      </c>
      <c r="E388" s="6">
        <v>736</v>
      </c>
    </row>
    <row r="389" ht="14.25" customHeight="1" spans="1:5">
      <c r="A389" s="5">
        <v>43976</v>
      </c>
      <c r="B389" s="6" t="s">
        <v>15</v>
      </c>
      <c r="C389" s="6">
        <v>124</v>
      </c>
      <c r="D389" s="6">
        <v>20358</v>
      </c>
      <c r="E389" s="6">
        <v>18890</v>
      </c>
    </row>
    <row r="390" ht="14.25" customHeight="1" spans="1:5">
      <c r="A390" s="5">
        <v>43976</v>
      </c>
      <c r="B390" s="6" t="s">
        <v>14</v>
      </c>
      <c r="C390" s="6">
        <v>129</v>
      </c>
      <c r="D390" s="6">
        <v>15822</v>
      </c>
      <c r="E390" s="6">
        <v>14753</v>
      </c>
    </row>
    <row r="391" ht="14.25" customHeight="1" spans="1:5">
      <c r="A391" s="5">
        <v>43976</v>
      </c>
      <c r="B391" s="6" t="s">
        <v>12</v>
      </c>
      <c r="C391" s="6">
        <v>10</v>
      </c>
      <c r="D391" s="6">
        <v>739</v>
      </c>
      <c r="E391" s="6">
        <v>642</v>
      </c>
    </row>
    <row r="392" ht="14.25" customHeight="1" spans="1:5">
      <c r="A392" s="5">
        <v>43977</v>
      </c>
      <c r="B392" s="6" t="s">
        <v>16</v>
      </c>
      <c r="C392" s="6">
        <v>36</v>
      </c>
      <c r="D392" s="6">
        <v>4770</v>
      </c>
      <c r="E392" s="6">
        <v>4424</v>
      </c>
    </row>
    <row r="393" ht="14.25" customHeight="1" spans="1:5">
      <c r="A393" s="5">
        <v>43977</v>
      </c>
      <c r="B393" s="6" t="s">
        <v>11</v>
      </c>
      <c r="C393" s="6">
        <v>31</v>
      </c>
      <c r="D393" s="6">
        <v>5493</v>
      </c>
      <c r="E393" s="6">
        <v>5119</v>
      </c>
    </row>
    <row r="394" ht="14.25" customHeight="1" spans="1:5">
      <c r="A394" s="5">
        <v>43977</v>
      </c>
      <c r="B394" s="6" t="s">
        <v>17</v>
      </c>
      <c r="C394" s="6">
        <v>21</v>
      </c>
      <c r="D394" s="6">
        <v>2418</v>
      </c>
      <c r="E394" s="6">
        <v>2215</v>
      </c>
    </row>
    <row r="395" ht="14.25" customHeight="1" spans="1:5">
      <c r="A395" s="5">
        <v>43977</v>
      </c>
      <c r="B395" s="6" t="s">
        <v>10</v>
      </c>
      <c r="C395" s="6">
        <v>20</v>
      </c>
      <c r="D395" s="6">
        <v>2044</v>
      </c>
      <c r="E395" s="6">
        <v>1863</v>
      </c>
    </row>
    <row r="396" ht="14.25" customHeight="1" spans="1:5">
      <c r="A396" s="5">
        <v>43977</v>
      </c>
      <c r="B396" s="6" t="s">
        <v>20</v>
      </c>
      <c r="C396" s="6">
        <v>20</v>
      </c>
      <c r="D396" s="6">
        <v>1814</v>
      </c>
      <c r="E396" s="6">
        <v>1655</v>
      </c>
    </row>
    <row r="397" ht="14.25" customHeight="1" spans="1:5">
      <c r="A397" s="5">
        <v>43977</v>
      </c>
      <c r="B397" s="6" t="s">
        <v>22</v>
      </c>
      <c r="C397" s="6">
        <v>54</v>
      </c>
      <c r="D397" s="6">
        <v>14482</v>
      </c>
      <c r="E397" s="6">
        <v>13510</v>
      </c>
    </row>
    <row r="398" ht="14.25" customHeight="1" spans="1:5">
      <c r="A398" s="5">
        <v>43977</v>
      </c>
      <c r="B398" s="6" t="s">
        <v>21</v>
      </c>
      <c r="C398" s="6">
        <v>59</v>
      </c>
      <c r="D398" s="6">
        <v>15369</v>
      </c>
      <c r="E398" s="6">
        <v>14299</v>
      </c>
    </row>
    <row r="399" ht="14.25" customHeight="1" spans="1:5">
      <c r="A399" s="5">
        <v>43977</v>
      </c>
      <c r="B399" s="6" t="s">
        <v>13</v>
      </c>
      <c r="C399" s="6">
        <v>20</v>
      </c>
      <c r="D399" s="6">
        <v>2036</v>
      </c>
      <c r="E399" s="6">
        <v>1790</v>
      </c>
    </row>
    <row r="400" ht="14.25" customHeight="1" spans="1:5">
      <c r="A400" s="5">
        <v>43977</v>
      </c>
      <c r="B400" s="6" t="s">
        <v>23</v>
      </c>
      <c r="C400" s="6">
        <v>18</v>
      </c>
      <c r="D400" s="6">
        <v>914</v>
      </c>
      <c r="E400" s="6">
        <v>804</v>
      </c>
    </row>
    <row r="401" ht="14.25" customHeight="1" spans="1:5">
      <c r="A401" s="5">
        <v>43977</v>
      </c>
      <c r="B401" s="6" t="s">
        <v>18</v>
      </c>
      <c r="C401" s="6">
        <v>17</v>
      </c>
      <c r="D401" s="6">
        <v>1140</v>
      </c>
      <c r="E401" s="6">
        <v>1016</v>
      </c>
    </row>
    <row r="402" ht="14.25" customHeight="1" spans="1:5">
      <c r="A402" s="5">
        <v>43977</v>
      </c>
      <c r="B402" s="6" t="s">
        <v>19</v>
      </c>
      <c r="C402" s="6">
        <v>15</v>
      </c>
      <c r="D402" s="6">
        <v>812</v>
      </c>
      <c r="E402" s="6">
        <v>711</v>
      </c>
    </row>
    <row r="403" ht="14.25" customHeight="1" spans="1:5">
      <c r="A403" s="5">
        <v>43977</v>
      </c>
      <c r="B403" s="6" t="s">
        <v>15</v>
      </c>
      <c r="C403" s="6">
        <v>124</v>
      </c>
      <c r="D403" s="6">
        <v>21153</v>
      </c>
      <c r="E403" s="6">
        <v>19673</v>
      </c>
    </row>
    <row r="404" ht="14.25" customHeight="1" spans="1:5">
      <c r="A404" s="5">
        <v>43977</v>
      </c>
      <c r="B404" s="6" t="s">
        <v>14</v>
      </c>
      <c r="C404" s="6">
        <v>129</v>
      </c>
      <c r="D404" s="6">
        <v>16459</v>
      </c>
      <c r="E404" s="6">
        <v>15355</v>
      </c>
    </row>
    <row r="405" ht="14.25" customHeight="1" spans="1:5">
      <c r="A405" s="5">
        <v>43977</v>
      </c>
      <c r="B405" s="6" t="s">
        <v>12</v>
      </c>
      <c r="C405" s="6">
        <v>10</v>
      </c>
      <c r="D405" s="6">
        <v>692</v>
      </c>
      <c r="E405" s="6">
        <v>601</v>
      </c>
    </row>
    <row r="406" ht="14.25" customHeight="1" spans="1:5">
      <c r="A406" s="5">
        <v>43977</v>
      </c>
      <c r="B406" s="6" t="s">
        <v>24</v>
      </c>
      <c r="C406" s="6">
        <v>7</v>
      </c>
      <c r="D406" s="6">
        <v>577</v>
      </c>
      <c r="E406" s="6">
        <v>389</v>
      </c>
    </row>
    <row r="407" ht="14.25" customHeight="1" spans="1:5">
      <c r="A407" s="5">
        <v>43978</v>
      </c>
      <c r="B407" s="6" t="s">
        <v>16</v>
      </c>
      <c r="C407" s="6">
        <v>36</v>
      </c>
      <c r="D407" s="6">
        <v>4951</v>
      </c>
      <c r="E407" s="6">
        <v>4584</v>
      </c>
    </row>
    <row r="408" ht="14.25" customHeight="1" spans="1:5">
      <c r="A408" s="5">
        <v>43978</v>
      </c>
      <c r="B408" s="6" t="s">
        <v>11</v>
      </c>
      <c r="C408" s="6">
        <v>31</v>
      </c>
      <c r="D408" s="6">
        <v>5330</v>
      </c>
      <c r="E408" s="6">
        <v>4977</v>
      </c>
    </row>
    <row r="409" ht="14.25" customHeight="1" spans="1:5">
      <c r="A409" s="5">
        <v>43978</v>
      </c>
      <c r="B409" s="6" t="s">
        <v>17</v>
      </c>
      <c r="C409" s="6">
        <v>21</v>
      </c>
      <c r="D409" s="6">
        <v>2430</v>
      </c>
      <c r="E409" s="6">
        <v>2216</v>
      </c>
    </row>
    <row r="410" ht="14.25" customHeight="1" spans="1:5">
      <c r="A410" s="5">
        <v>43978</v>
      </c>
      <c r="B410" s="6" t="s">
        <v>10</v>
      </c>
      <c r="C410" s="6">
        <v>20</v>
      </c>
      <c r="D410" s="6">
        <v>2079</v>
      </c>
      <c r="E410" s="6">
        <v>1893</v>
      </c>
    </row>
    <row r="411" ht="14.25" customHeight="1" spans="1:5">
      <c r="A411" s="5">
        <v>43978</v>
      </c>
      <c r="B411" s="6" t="s">
        <v>20</v>
      </c>
      <c r="C411" s="6">
        <v>20</v>
      </c>
      <c r="D411" s="6">
        <v>1873</v>
      </c>
      <c r="E411" s="6">
        <v>1715</v>
      </c>
    </row>
    <row r="412" ht="14.25" customHeight="1" spans="1:5">
      <c r="A412" s="5">
        <v>43978</v>
      </c>
      <c r="B412" s="6" t="s">
        <v>22</v>
      </c>
      <c r="C412" s="6">
        <v>54</v>
      </c>
      <c r="D412" s="6">
        <v>13091</v>
      </c>
      <c r="E412" s="6">
        <v>12216</v>
      </c>
    </row>
    <row r="413" ht="14.25" customHeight="1" spans="1:5">
      <c r="A413" s="5">
        <v>43978</v>
      </c>
      <c r="B413" s="6" t="s">
        <v>21</v>
      </c>
      <c r="C413" s="6">
        <v>59</v>
      </c>
      <c r="D413" s="6">
        <v>13942</v>
      </c>
      <c r="E413" s="6">
        <v>12986</v>
      </c>
    </row>
    <row r="414" ht="14.25" customHeight="1" spans="1:5">
      <c r="A414" s="5">
        <v>43978</v>
      </c>
      <c r="B414" s="6" t="s">
        <v>13</v>
      </c>
      <c r="C414" s="6">
        <v>20</v>
      </c>
      <c r="D414" s="6">
        <v>2079</v>
      </c>
      <c r="E414" s="6">
        <v>1856</v>
      </c>
    </row>
    <row r="415" ht="14.25" customHeight="1" spans="1:5">
      <c r="A415" s="5">
        <v>43978</v>
      </c>
      <c r="B415" s="6" t="s">
        <v>23</v>
      </c>
      <c r="C415" s="6">
        <v>18</v>
      </c>
      <c r="D415" s="6">
        <v>962</v>
      </c>
      <c r="E415" s="6">
        <v>859</v>
      </c>
    </row>
    <row r="416" ht="14.25" customHeight="1" spans="1:5">
      <c r="A416" s="5">
        <v>43978</v>
      </c>
      <c r="B416" s="6" t="s">
        <v>18</v>
      </c>
      <c r="C416" s="6">
        <v>17</v>
      </c>
      <c r="D416" s="6">
        <v>1203</v>
      </c>
      <c r="E416" s="6">
        <v>1077</v>
      </c>
    </row>
    <row r="417" ht="14.25" customHeight="1" spans="1:5">
      <c r="A417" s="5">
        <v>43978</v>
      </c>
      <c r="B417" s="6" t="s">
        <v>19</v>
      </c>
      <c r="C417" s="6">
        <v>15</v>
      </c>
      <c r="D417" s="6">
        <v>809</v>
      </c>
      <c r="E417" s="6">
        <v>702</v>
      </c>
    </row>
    <row r="418" ht="14.25" customHeight="1" spans="1:5">
      <c r="A418" s="5">
        <v>43978</v>
      </c>
      <c r="B418" s="6" t="s">
        <v>15</v>
      </c>
      <c r="C418" s="6">
        <v>124</v>
      </c>
      <c r="D418" s="6">
        <v>21384</v>
      </c>
      <c r="E418" s="6">
        <v>19897</v>
      </c>
    </row>
    <row r="419" ht="14.25" customHeight="1" spans="1:5">
      <c r="A419" s="5">
        <v>43978</v>
      </c>
      <c r="B419" s="6" t="s">
        <v>14</v>
      </c>
      <c r="C419" s="6">
        <v>129</v>
      </c>
      <c r="D419" s="6">
        <v>17115</v>
      </c>
      <c r="E419" s="6">
        <v>15962</v>
      </c>
    </row>
    <row r="420" ht="14.25" customHeight="1" spans="1:5">
      <c r="A420" s="5">
        <v>43978</v>
      </c>
      <c r="B420" s="6" t="s">
        <v>12</v>
      </c>
      <c r="C420" s="6">
        <v>10</v>
      </c>
      <c r="D420" s="6">
        <v>757</v>
      </c>
      <c r="E420" s="6">
        <v>660</v>
      </c>
    </row>
    <row r="421" ht="14.25" customHeight="1" spans="1:5">
      <c r="A421" s="5">
        <v>43978</v>
      </c>
      <c r="B421" s="6" t="s">
        <v>24</v>
      </c>
      <c r="C421" s="6">
        <v>7</v>
      </c>
      <c r="D421" s="6">
        <v>409</v>
      </c>
      <c r="E421" s="6">
        <v>329</v>
      </c>
    </row>
    <row r="422" ht="14.25" customHeight="1" spans="1:5">
      <c r="A422" s="5">
        <v>43979</v>
      </c>
      <c r="B422" s="6" t="s">
        <v>16</v>
      </c>
      <c r="C422" s="6">
        <v>37</v>
      </c>
      <c r="D422" s="6">
        <v>4840</v>
      </c>
      <c r="E422" s="6">
        <v>4475</v>
      </c>
    </row>
    <row r="423" ht="14.25" customHeight="1" spans="1:5">
      <c r="A423" s="5">
        <v>43979</v>
      </c>
      <c r="B423" s="6" t="s">
        <v>11</v>
      </c>
      <c r="C423" s="6">
        <v>31</v>
      </c>
      <c r="D423" s="6">
        <v>5355</v>
      </c>
      <c r="E423" s="6">
        <v>4969</v>
      </c>
    </row>
    <row r="424" ht="14.25" customHeight="1" spans="1:5">
      <c r="A424" s="5">
        <v>43979</v>
      </c>
      <c r="B424" s="6" t="s">
        <v>17</v>
      </c>
      <c r="C424" s="6">
        <v>22</v>
      </c>
      <c r="D424" s="6">
        <v>2454</v>
      </c>
      <c r="E424" s="6">
        <v>2239</v>
      </c>
    </row>
    <row r="425" ht="14.25" customHeight="1" spans="1:5">
      <c r="A425" s="5">
        <v>43979</v>
      </c>
      <c r="B425" s="6" t="s">
        <v>10</v>
      </c>
      <c r="C425" s="6">
        <v>20</v>
      </c>
      <c r="D425" s="6">
        <v>1886</v>
      </c>
      <c r="E425" s="6">
        <v>1736</v>
      </c>
    </row>
    <row r="426" ht="14.25" customHeight="1" spans="1:5">
      <c r="A426" s="5">
        <v>43979</v>
      </c>
      <c r="B426" s="6" t="s">
        <v>20</v>
      </c>
      <c r="C426" s="6">
        <v>20</v>
      </c>
      <c r="D426" s="6">
        <v>1875</v>
      </c>
      <c r="E426" s="6">
        <v>1701</v>
      </c>
    </row>
    <row r="427" ht="14.25" customHeight="1" spans="1:5">
      <c r="A427" s="5">
        <v>43979</v>
      </c>
      <c r="B427" s="6" t="s">
        <v>22</v>
      </c>
      <c r="C427" s="6">
        <v>54</v>
      </c>
      <c r="D427" s="6">
        <v>12409</v>
      </c>
      <c r="E427" s="6">
        <v>11582</v>
      </c>
    </row>
    <row r="428" ht="14.25" customHeight="1" spans="1:5">
      <c r="A428" s="5">
        <v>43979</v>
      </c>
      <c r="B428" s="6" t="s">
        <v>21</v>
      </c>
      <c r="C428" s="6">
        <v>60</v>
      </c>
      <c r="D428" s="6">
        <v>12854</v>
      </c>
      <c r="E428" s="6">
        <v>11954</v>
      </c>
    </row>
    <row r="429" ht="14.25" customHeight="1" spans="1:5">
      <c r="A429" s="5">
        <v>43979</v>
      </c>
      <c r="B429" s="6" t="s">
        <v>13</v>
      </c>
      <c r="C429" s="6">
        <v>20</v>
      </c>
      <c r="D429" s="6">
        <v>2088</v>
      </c>
      <c r="E429" s="6">
        <v>1848</v>
      </c>
    </row>
    <row r="430" ht="14.25" customHeight="1" spans="1:5">
      <c r="A430" s="5">
        <v>43979</v>
      </c>
      <c r="B430" s="6" t="s">
        <v>23</v>
      </c>
      <c r="C430" s="6">
        <v>18</v>
      </c>
      <c r="D430" s="6">
        <v>1020</v>
      </c>
      <c r="E430" s="6">
        <v>911</v>
      </c>
    </row>
    <row r="431" ht="14.25" customHeight="1" spans="1:5">
      <c r="A431" s="5">
        <v>43979</v>
      </c>
      <c r="B431" s="6" t="s">
        <v>18</v>
      </c>
      <c r="C431" s="6">
        <v>17</v>
      </c>
      <c r="D431" s="6">
        <v>1097</v>
      </c>
      <c r="E431" s="6">
        <v>968</v>
      </c>
    </row>
    <row r="432" ht="14.25" customHeight="1" spans="1:5">
      <c r="A432" s="5">
        <v>43979</v>
      </c>
      <c r="B432" s="6" t="s">
        <v>19</v>
      </c>
      <c r="C432" s="6">
        <v>16</v>
      </c>
      <c r="D432" s="6">
        <v>876</v>
      </c>
      <c r="E432" s="6">
        <v>762</v>
      </c>
    </row>
    <row r="433" ht="14.25" customHeight="1" spans="1:5">
      <c r="A433" s="5">
        <v>43979</v>
      </c>
      <c r="B433" s="6" t="s">
        <v>9</v>
      </c>
      <c r="C433" s="6">
        <v>15</v>
      </c>
      <c r="D433" s="6">
        <v>464</v>
      </c>
      <c r="E433" s="6">
        <v>390</v>
      </c>
    </row>
    <row r="434" ht="14.25" customHeight="1" spans="1:5">
      <c r="A434" s="5">
        <v>43979</v>
      </c>
      <c r="B434" s="6" t="s">
        <v>15</v>
      </c>
      <c r="C434" s="6">
        <v>124</v>
      </c>
      <c r="D434" s="6">
        <v>20868</v>
      </c>
      <c r="E434" s="6">
        <v>19342</v>
      </c>
    </row>
    <row r="435" ht="14.25" customHeight="1" spans="1:5">
      <c r="A435" s="5">
        <v>43979</v>
      </c>
      <c r="B435" s="6" t="s">
        <v>14</v>
      </c>
      <c r="C435" s="6">
        <v>129</v>
      </c>
      <c r="D435" s="6">
        <v>16453</v>
      </c>
      <c r="E435" s="6">
        <v>15289</v>
      </c>
    </row>
    <row r="436" ht="14.25" customHeight="1" spans="1:5">
      <c r="A436" s="5">
        <v>43979</v>
      </c>
      <c r="B436" s="6" t="s">
        <v>12</v>
      </c>
      <c r="C436" s="6">
        <v>10</v>
      </c>
      <c r="D436" s="6">
        <v>791</v>
      </c>
      <c r="E436" s="6">
        <v>697</v>
      </c>
    </row>
    <row r="437" ht="14.25" customHeight="1" spans="1:5">
      <c r="A437" s="5">
        <v>43979</v>
      </c>
      <c r="B437" s="6" t="s">
        <v>24</v>
      </c>
      <c r="C437" s="6">
        <v>7</v>
      </c>
      <c r="D437" s="6">
        <v>420</v>
      </c>
      <c r="E437" s="6">
        <v>347</v>
      </c>
    </row>
    <row r="438" ht="14.25" customHeight="1" spans="1:5">
      <c r="A438" s="5">
        <v>43980</v>
      </c>
      <c r="B438" s="6" t="s">
        <v>16</v>
      </c>
      <c r="C438" s="6">
        <v>37</v>
      </c>
      <c r="D438" s="6">
        <v>5672</v>
      </c>
      <c r="E438" s="6">
        <v>5198</v>
      </c>
    </row>
    <row r="439" ht="14.25" customHeight="1" spans="1:5">
      <c r="A439" s="5">
        <v>43980</v>
      </c>
      <c r="B439" s="6" t="s">
        <v>11</v>
      </c>
      <c r="C439" s="6">
        <v>31</v>
      </c>
      <c r="D439" s="6">
        <v>5751</v>
      </c>
      <c r="E439" s="6">
        <v>5319</v>
      </c>
    </row>
    <row r="440" ht="14.25" customHeight="1" spans="1:5">
      <c r="A440" s="5">
        <v>43980</v>
      </c>
      <c r="B440" s="6" t="s">
        <v>17</v>
      </c>
      <c r="C440" s="6">
        <v>22</v>
      </c>
      <c r="D440" s="6">
        <v>2597</v>
      </c>
      <c r="E440" s="6">
        <v>2379</v>
      </c>
    </row>
    <row r="441" ht="14.25" customHeight="1" spans="1:5">
      <c r="A441" s="5">
        <v>43980</v>
      </c>
      <c r="B441" s="6" t="s">
        <v>10</v>
      </c>
      <c r="C441" s="6">
        <v>20</v>
      </c>
      <c r="D441" s="6">
        <v>2111</v>
      </c>
      <c r="E441" s="6">
        <v>1917</v>
      </c>
    </row>
    <row r="442" ht="14.25" customHeight="1" spans="1:5">
      <c r="A442" s="5">
        <v>43980</v>
      </c>
      <c r="B442" s="6" t="s">
        <v>20</v>
      </c>
      <c r="C442" s="6">
        <v>20</v>
      </c>
      <c r="D442" s="6">
        <v>2064</v>
      </c>
      <c r="E442" s="6">
        <v>1896</v>
      </c>
    </row>
    <row r="443" ht="14.25" customHeight="1" spans="1:5">
      <c r="A443" s="5">
        <v>43980</v>
      </c>
      <c r="B443" s="6" t="s">
        <v>22</v>
      </c>
      <c r="C443" s="6">
        <v>54</v>
      </c>
      <c r="D443" s="6">
        <v>14031</v>
      </c>
      <c r="E443" s="6">
        <v>12943</v>
      </c>
    </row>
    <row r="444" ht="14.25" customHeight="1" spans="1:5">
      <c r="A444" s="5">
        <v>43980</v>
      </c>
      <c r="B444" s="6" t="s">
        <v>21</v>
      </c>
      <c r="C444" s="6">
        <v>59</v>
      </c>
      <c r="D444" s="6">
        <v>14507</v>
      </c>
      <c r="E444" s="6">
        <v>13386</v>
      </c>
    </row>
    <row r="445" ht="14.25" customHeight="1" spans="1:5">
      <c r="A445" s="5">
        <v>43980</v>
      </c>
      <c r="B445" s="6" t="s">
        <v>13</v>
      </c>
      <c r="C445" s="6">
        <v>20</v>
      </c>
      <c r="D445" s="6">
        <v>2249</v>
      </c>
      <c r="E445" s="6">
        <v>2000</v>
      </c>
    </row>
    <row r="446" ht="14.25" customHeight="1" spans="1:5">
      <c r="A446" s="5">
        <v>43980</v>
      </c>
      <c r="B446" s="6" t="s">
        <v>23</v>
      </c>
      <c r="C446" s="6">
        <v>18</v>
      </c>
      <c r="D446" s="6">
        <v>1014</v>
      </c>
      <c r="E446" s="6">
        <v>893</v>
      </c>
    </row>
    <row r="447" ht="14.25" customHeight="1" spans="1:5">
      <c r="A447" s="5">
        <v>43980</v>
      </c>
      <c r="B447" s="6" t="s">
        <v>18</v>
      </c>
      <c r="C447" s="6">
        <v>17</v>
      </c>
      <c r="D447" s="6">
        <v>1296</v>
      </c>
      <c r="E447" s="6">
        <v>1153</v>
      </c>
    </row>
    <row r="448" ht="14.25" customHeight="1" spans="1:5">
      <c r="A448" s="5">
        <v>43980</v>
      </c>
      <c r="B448" s="6" t="s">
        <v>19</v>
      </c>
      <c r="C448" s="6">
        <v>16</v>
      </c>
      <c r="D448" s="6">
        <v>981</v>
      </c>
      <c r="E448" s="6">
        <v>859</v>
      </c>
    </row>
    <row r="449" ht="14.25" customHeight="1" spans="1:5">
      <c r="A449" s="5">
        <v>43980</v>
      </c>
      <c r="B449" s="6" t="s">
        <v>9</v>
      </c>
      <c r="C449" s="6">
        <v>15</v>
      </c>
      <c r="D449" s="6">
        <v>400</v>
      </c>
      <c r="E449" s="6">
        <v>329</v>
      </c>
    </row>
    <row r="450" ht="14.25" customHeight="1" spans="1:5">
      <c r="A450" s="5">
        <v>43980</v>
      </c>
      <c r="B450" s="6" t="s">
        <v>15</v>
      </c>
      <c r="C450" s="6">
        <v>124</v>
      </c>
      <c r="D450" s="6">
        <v>25828</v>
      </c>
      <c r="E450" s="6">
        <v>23974</v>
      </c>
    </row>
    <row r="451" ht="14.25" customHeight="1" spans="1:5">
      <c r="A451" s="5">
        <v>43980</v>
      </c>
      <c r="B451" s="6" t="s">
        <v>14</v>
      </c>
      <c r="C451" s="6">
        <v>129</v>
      </c>
      <c r="D451" s="6">
        <v>22403</v>
      </c>
      <c r="E451" s="6">
        <v>20676</v>
      </c>
    </row>
    <row r="452" ht="14.25" customHeight="1" spans="1:5">
      <c r="A452" s="5">
        <v>43980</v>
      </c>
      <c r="B452" s="6" t="s">
        <v>12</v>
      </c>
      <c r="C452" s="6">
        <v>10</v>
      </c>
      <c r="D452" s="6">
        <v>873</v>
      </c>
      <c r="E452" s="6">
        <v>770</v>
      </c>
    </row>
    <row r="453" ht="14.25" customHeight="1" spans="1:5">
      <c r="A453" s="5">
        <v>43980</v>
      </c>
      <c r="B453" s="6" t="s">
        <v>24</v>
      </c>
      <c r="C453" s="6">
        <v>7</v>
      </c>
      <c r="D453" s="6">
        <v>491</v>
      </c>
      <c r="E453" s="6">
        <v>411</v>
      </c>
    </row>
    <row r="454" ht="14.25" customHeight="1" spans="1:5">
      <c r="A454" s="5">
        <v>43981</v>
      </c>
      <c r="B454" s="6" t="s">
        <v>16</v>
      </c>
      <c r="C454" s="6">
        <v>37</v>
      </c>
      <c r="D454" s="6">
        <v>6645</v>
      </c>
      <c r="E454" s="6">
        <v>6122</v>
      </c>
    </row>
    <row r="455" ht="14.25" customHeight="1" spans="1:5">
      <c r="A455" s="5">
        <v>43981</v>
      </c>
      <c r="B455" s="6" t="s">
        <v>11</v>
      </c>
      <c r="C455" s="6">
        <v>31</v>
      </c>
      <c r="D455" s="6">
        <v>6735</v>
      </c>
      <c r="E455" s="6">
        <v>6264</v>
      </c>
    </row>
    <row r="456" ht="14.25" customHeight="1" spans="1:5">
      <c r="A456" s="5">
        <v>43981</v>
      </c>
      <c r="B456" s="6" t="s">
        <v>17</v>
      </c>
      <c r="C456" s="6">
        <v>22</v>
      </c>
      <c r="D456" s="6">
        <v>2793</v>
      </c>
      <c r="E456" s="6">
        <v>2539</v>
      </c>
    </row>
    <row r="457" ht="14.25" customHeight="1" spans="1:5">
      <c r="A457" s="5">
        <v>43981</v>
      </c>
      <c r="B457" s="6" t="s">
        <v>10</v>
      </c>
      <c r="C457" s="6">
        <v>20</v>
      </c>
      <c r="D457" s="6">
        <v>2597</v>
      </c>
      <c r="E457" s="6">
        <v>2376</v>
      </c>
    </row>
    <row r="458" ht="14.25" customHeight="1" spans="1:5">
      <c r="A458" s="5">
        <v>43981</v>
      </c>
      <c r="B458" s="6" t="s">
        <v>20</v>
      </c>
      <c r="C458" s="6">
        <v>20</v>
      </c>
      <c r="D458" s="6">
        <v>2174</v>
      </c>
      <c r="E458" s="6">
        <v>1957</v>
      </c>
    </row>
    <row r="459" ht="14.25" customHeight="1" spans="1:5">
      <c r="A459" s="5">
        <v>43981</v>
      </c>
      <c r="B459" s="6" t="s">
        <v>22</v>
      </c>
      <c r="C459" s="6">
        <v>54</v>
      </c>
      <c r="D459" s="6">
        <v>14590</v>
      </c>
      <c r="E459" s="6">
        <v>13551</v>
      </c>
    </row>
    <row r="460" ht="14.25" customHeight="1" spans="1:5">
      <c r="A460" s="5">
        <v>43981</v>
      </c>
      <c r="B460" s="6" t="s">
        <v>21</v>
      </c>
      <c r="C460" s="6">
        <v>59</v>
      </c>
      <c r="D460" s="6">
        <v>15030</v>
      </c>
      <c r="E460" s="6">
        <v>13956</v>
      </c>
    </row>
    <row r="461" ht="14.25" customHeight="1" spans="1:5">
      <c r="A461" s="5">
        <v>43981</v>
      </c>
      <c r="B461" s="6" t="s">
        <v>13</v>
      </c>
      <c r="C461" s="6">
        <v>20</v>
      </c>
      <c r="D461" s="6">
        <v>2451</v>
      </c>
      <c r="E461" s="6">
        <v>2178</v>
      </c>
    </row>
    <row r="462" ht="14.25" customHeight="1" spans="1:5">
      <c r="A462" s="5">
        <v>43981</v>
      </c>
      <c r="B462" s="6" t="s">
        <v>23</v>
      </c>
      <c r="C462" s="6">
        <v>18</v>
      </c>
      <c r="D462" s="6">
        <v>1216</v>
      </c>
      <c r="E462" s="6">
        <v>1101</v>
      </c>
    </row>
    <row r="463" ht="14.25" customHeight="1" spans="1:5">
      <c r="A463" s="5">
        <v>43981</v>
      </c>
      <c r="B463" s="6" t="s">
        <v>18</v>
      </c>
      <c r="C463" s="6">
        <v>17</v>
      </c>
      <c r="D463" s="6">
        <v>1697</v>
      </c>
      <c r="E463" s="6">
        <v>1499</v>
      </c>
    </row>
    <row r="464" ht="14.25" customHeight="1" spans="1:5">
      <c r="A464" s="5">
        <v>43981</v>
      </c>
      <c r="B464" s="6" t="s">
        <v>19</v>
      </c>
      <c r="C464" s="6">
        <v>16</v>
      </c>
      <c r="D464" s="6">
        <v>1048</v>
      </c>
      <c r="E464" s="6">
        <v>918</v>
      </c>
    </row>
    <row r="465" ht="14.25" customHeight="1" spans="1:5">
      <c r="A465" s="5">
        <v>43981</v>
      </c>
      <c r="B465" s="6" t="s">
        <v>9</v>
      </c>
      <c r="C465" s="6">
        <v>15</v>
      </c>
      <c r="D465" s="6">
        <v>490</v>
      </c>
      <c r="E465" s="6">
        <v>409</v>
      </c>
    </row>
    <row r="466" ht="14.25" customHeight="1" spans="1:5">
      <c r="A466" s="5">
        <v>43981</v>
      </c>
      <c r="B466" s="6" t="s">
        <v>15</v>
      </c>
      <c r="C466" s="6">
        <v>124</v>
      </c>
      <c r="D466" s="6">
        <v>24325</v>
      </c>
      <c r="E466" s="6">
        <v>22469</v>
      </c>
    </row>
    <row r="467" ht="14.25" customHeight="1" spans="1:5">
      <c r="A467" s="5">
        <v>43981</v>
      </c>
      <c r="B467" s="6" t="s">
        <v>14</v>
      </c>
      <c r="C467" s="6">
        <v>129</v>
      </c>
      <c r="D467" s="6">
        <v>20243</v>
      </c>
      <c r="E467" s="6">
        <v>18711</v>
      </c>
    </row>
    <row r="468" ht="14.25" customHeight="1" spans="1:5">
      <c r="A468" s="5">
        <v>43981</v>
      </c>
      <c r="B468" s="6" t="s">
        <v>12</v>
      </c>
      <c r="C468" s="6">
        <v>10</v>
      </c>
      <c r="D468" s="6">
        <v>865</v>
      </c>
      <c r="E468" s="6">
        <v>763</v>
      </c>
    </row>
    <row r="469" ht="14.25" customHeight="1" spans="1:5">
      <c r="A469" s="5">
        <v>43981</v>
      </c>
      <c r="B469" s="6" t="s">
        <v>24</v>
      </c>
      <c r="C469" s="6">
        <v>7</v>
      </c>
      <c r="D469" s="6">
        <v>532</v>
      </c>
      <c r="E469" s="6">
        <v>449</v>
      </c>
    </row>
    <row r="470" ht="14.25" customHeight="1" spans="1:5">
      <c r="A470" s="5">
        <v>43982</v>
      </c>
      <c r="B470" s="6" t="s">
        <v>16</v>
      </c>
      <c r="C470" s="6">
        <v>37</v>
      </c>
      <c r="D470" s="6">
        <v>5215</v>
      </c>
      <c r="E470" s="6">
        <v>4848</v>
      </c>
    </row>
    <row r="471" ht="14.25" customHeight="1" spans="1:5">
      <c r="A471" s="5">
        <v>43982</v>
      </c>
      <c r="B471" s="6" t="s">
        <v>11</v>
      </c>
      <c r="C471" s="6">
        <v>31</v>
      </c>
      <c r="D471" s="6">
        <v>5760</v>
      </c>
      <c r="E471" s="6">
        <v>5367</v>
      </c>
    </row>
    <row r="472" ht="14.25" customHeight="1" spans="1:5">
      <c r="A472" s="5">
        <v>43982</v>
      </c>
      <c r="B472" s="6" t="s">
        <v>17</v>
      </c>
      <c r="C472" s="6">
        <v>23</v>
      </c>
      <c r="D472" s="6">
        <v>2522</v>
      </c>
      <c r="E472" s="6">
        <v>2295</v>
      </c>
    </row>
    <row r="473" ht="14.25" customHeight="1" spans="1:5">
      <c r="A473" s="5">
        <v>43982</v>
      </c>
      <c r="B473" s="6" t="s">
        <v>10</v>
      </c>
      <c r="C473" s="6">
        <v>21</v>
      </c>
      <c r="D473" s="6">
        <v>2271</v>
      </c>
      <c r="E473" s="6">
        <v>2085</v>
      </c>
    </row>
    <row r="474" ht="14.25" customHeight="1" spans="1:5">
      <c r="A474" s="5">
        <v>43982</v>
      </c>
      <c r="B474" s="6" t="s">
        <v>20</v>
      </c>
      <c r="C474" s="6">
        <v>21</v>
      </c>
      <c r="D474" s="6">
        <v>2056</v>
      </c>
      <c r="E474" s="6">
        <v>1879</v>
      </c>
    </row>
    <row r="475" ht="14.25" customHeight="1" spans="1:5">
      <c r="A475" s="5">
        <v>43982</v>
      </c>
      <c r="B475" s="6" t="s">
        <v>22</v>
      </c>
      <c r="C475" s="6">
        <v>54</v>
      </c>
      <c r="D475" s="6">
        <v>13106</v>
      </c>
      <c r="E475" s="6">
        <v>12164</v>
      </c>
    </row>
    <row r="476" ht="14.25" customHeight="1" spans="1:5">
      <c r="A476" s="5">
        <v>43982</v>
      </c>
      <c r="B476" s="6" t="s">
        <v>21</v>
      </c>
      <c r="C476" s="6">
        <v>59</v>
      </c>
      <c r="D476" s="6">
        <v>13684</v>
      </c>
      <c r="E476" s="6">
        <v>12690</v>
      </c>
    </row>
    <row r="477" ht="14.25" customHeight="1" spans="1:5">
      <c r="A477" s="5">
        <v>43982</v>
      </c>
      <c r="B477" s="6" t="s">
        <v>13</v>
      </c>
      <c r="C477" s="6">
        <v>20</v>
      </c>
      <c r="D477" s="6">
        <v>2060</v>
      </c>
      <c r="E477" s="6">
        <v>1826</v>
      </c>
    </row>
    <row r="478" ht="14.25" customHeight="1" spans="1:5">
      <c r="A478" s="5">
        <v>43982</v>
      </c>
      <c r="B478" s="6" t="s">
        <v>23</v>
      </c>
      <c r="C478" s="6">
        <v>18</v>
      </c>
      <c r="D478" s="6">
        <v>1029</v>
      </c>
      <c r="E478" s="6">
        <v>925</v>
      </c>
    </row>
    <row r="479" ht="14.25" customHeight="1" spans="1:5">
      <c r="A479" s="5">
        <v>43982</v>
      </c>
      <c r="B479" s="6" t="s">
        <v>18</v>
      </c>
      <c r="C479" s="6">
        <v>17</v>
      </c>
      <c r="D479" s="6">
        <v>1186</v>
      </c>
      <c r="E479" s="6">
        <v>1054</v>
      </c>
    </row>
    <row r="480" ht="14.25" customHeight="1" spans="1:5">
      <c r="A480" s="5">
        <v>43982</v>
      </c>
      <c r="B480" s="6" t="s">
        <v>19</v>
      </c>
      <c r="C480" s="6">
        <v>16</v>
      </c>
      <c r="D480" s="6">
        <v>917</v>
      </c>
      <c r="E480" s="6">
        <v>802</v>
      </c>
    </row>
    <row r="481" ht="14.25" customHeight="1" spans="1:5">
      <c r="A481" s="5">
        <v>43982</v>
      </c>
      <c r="B481" s="6" t="s">
        <v>9</v>
      </c>
      <c r="C481" s="6">
        <v>15</v>
      </c>
      <c r="D481" s="6">
        <v>441</v>
      </c>
      <c r="E481" s="6">
        <v>368</v>
      </c>
    </row>
    <row r="482" ht="14.25" customHeight="1" spans="1:5">
      <c r="A482" s="5">
        <v>43982</v>
      </c>
      <c r="B482" s="6" t="s">
        <v>15</v>
      </c>
      <c r="C482" s="6">
        <v>124</v>
      </c>
      <c r="D482" s="6">
        <v>21392</v>
      </c>
      <c r="E482" s="6">
        <v>19869</v>
      </c>
    </row>
    <row r="483" ht="14.25" customHeight="1" spans="1:5">
      <c r="A483" s="5">
        <v>43982</v>
      </c>
      <c r="B483" s="6" t="s">
        <v>14</v>
      </c>
      <c r="C483" s="6">
        <v>129</v>
      </c>
      <c r="D483" s="6">
        <v>17235</v>
      </c>
      <c r="E483" s="6">
        <v>16052</v>
      </c>
    </row>
    <row r="484" ht="14.25" customHeight="1" spans="1:5">
      <c r="A484" s="5">
        <v>43982</v>
      </c>
      <c r="B484" s="6" t="s">
        <v>12</v>
      </c>
      <c r="C484" s="6">
        <v>10</v>
      </c>
      <c r="D484" s="6">
        <v>749</v>
      </c>
      <c r="E484" s="6">
        <v>655</v>
      </c>
    </row>
    <row r="485" ht="14.25" customHeight="1" spans="1:5">
      <c r="A485" s="5">
        <v>43982</v>
      </c>
      <c r="B485" s="6" t="s">
        <v>25</v>
      </c>
      <c r="C485" s="6">
        <v>9</v>
      </c>
      <c r="D485" s="6">
        <v>345</v>
      </c>
      <c r="E485" s="6">
        <v>255</v>
      </c>
    </row>
    <row r="486" ht="14.25" customHeight="1" spans="1:5">
      <c r="A486" s="5">
        <v>43982</v>
      </c>
      <c r="B486" s="6" t="s">
        <v>24</v>
      </c>
      <c r="C486" s="6">
        <v>7</v>
      </c>
      <c r="D486" s="6">
        <v>530</v>
      </c>
      <c r="E486" s="6">
        <v>447</v>
      </c>
    </row>
    <row r="487" ht="14.25" customHeight="1" spans="1:5">
      <c r="A487" s="5">
        <v>43982</v>
      </c>
      <c r="B487" s="6" t="s">
        <v>26</v>
      </c>
      <c r="C487" s="6">
        <v>6</v>
      </c>
      <c r="D487" s="6">
        <v>261</v>
      </c>
      <c r="E487" s="6">
        <v>188</v>
      </c>
    </row>
    <row r="488" ht="14.25" customHeight="1" spans="1:5">
      <c r="A488" s="5">
        <v>43983</v>
      </c>
      <c r="B488" s="6" t="s">
        <v>16</v>
      </c>
      <c r="C488" s="6">
        <v>37</v>
      </c>
      <c r="D488" s="6">
        <v>4722</v>
      </c>
      <c r="E488" s="6">
        <v>4352</v>
      </c>
    </row>
    <row r="489" ht="14.25" customHeight="1" spans="1:5">
      <c r="A489" s="5">
        <v>43983</v>
      </c>
      <c r="B489" s="6" t="s">
        <v>11</v>
      </c>
      <c r="C489" s="6">
        <v>31</v>
      </c>
      <c r="D489" s="6">
        <v>5468</v>
      </c>
      <c r="E489" s="6">
        <v>5081</v>
      </c>
    </row>
    <row r="490" ht="14.25" customHeight="1" spans="1:5">
      <c r="A490" s="5">
        <v>43983</v>
      </c>
      <c r="B490" s="6" t="s">
        <v>17</v>
      </c>
      <c r="C490" s="6">
        <v>23</v>
      </c>
      <c r="D490" s="6">
        <v>2531</v>
      </c>
      <c r="E490" s="6">
        <v>2296</v>
      </c>
    </row>
    <row r="491" ht="14.25" customHeight="1" spans="1:5">
      <c r="A491" s="5">
        <v>43983</v>
      </c>
      <c r="B491" s="6" t="s">
        <v>10</v>
      </c>
      <c r="C491" s="6">
        <v>21</v>
      </c>
      <c r="D491" s="6">
        <v>2025</v>
      </c>
      <c r="E491" s="6">
        <v>1849</v>
      </c>
    </row>
    <row r="492" ht="14.25" customHeight="1" spans="1:5">
      <c r="A492" s="5">
        <v>43983</v>
      </c>
      <c r="B492" s="6" t="s">
        <v>20</v>
      </c>
      <c r="C492" s="6">
        <v>21</v>
      </c>
      <c r="D492" s="6">
        <v>1879</v>
      </c>
      <c r="E492" s="6">
        <v>1720</v>
      </c>
    </row>
    <row r="493" ht="14.25" customHeight="1" spans="1:5">
      <c r="A493" s="5">
        <v>43983</v>
      </c>
      <c r="B493" s="6" t="s">
        <v>22</v>
      </c>
      <c r="C493" s="6">
        <v>54</v>
      </c>
      <c r="D493" s="6">
        <v>11864</v>
      </c>
      <c r="E493" s="6">
        <v>11071</v>
      </c>
    </row>
    <row r="494" ht="14.25" customHeight="1" spans="1:5">
      <c r="A494" s="5">
        <v>43983</v>
      </c>
      <c r="B494" s="6" t="s">
        <v>21</v>
      </c>
      <c r="C494" s="6">
        <v>59</v>
      </c>
      <c r="D494" s="6">
        <v>12299</v>
      </c>
      <c r="E494" s="6">
        <v>11448</v>
      </c>
    </row>
    <row r="495" ht="14.25" customHeight="1" spans="1:5">
      <c r="A495" s="5">
        <v>43983</v>
      </c>
      <c r="B495" s="6" t="s">
        <v>13</v>
      </c>
      <c r="C495" s="6">
        <v>20</v>
      </c>
      <c r="D495" s="6">
        <v>2136</v>
      </c>
      <c r="E495" s="6">
        <v>1899</v>
      </c>
    </row>
    <row r="496" ht="14.25" customHeight="1" spans="1:5">
      <c r="A496" s="5">
        <v>43983</v>
      </c>
      <c r="B496" s="6" t="s">
        <v>23</v>
      </c>
      <c r="C496" s="6">
        <v>18</v>
      </c>
      <c r="D496" s="6">
        <v>923</v>
      </c>
      <c r="E496" s="6">
        <v>824</v>
      </c>
    </row>
    <row r="497" ht="14.25" customHeight="1" spans="1:5">
      <c r="A497" s="5">
        <v>43983</v>
      </c>
      <c r="B497" s="6" t="s">
        <v>18</v>
      </c>
      <c r="C497" s="6">
        <v>17</v>
      </c>
      <c r="D497" s="6">
        <v>1185</v>
      </c>
      <c r="E497" s="6">
        <v>1042</v>
      </c>
    </row>
    <row r="498" ht="14.25" customHeight="1" spans="1:5">
      <c r="A498" s="5">
        <v>43983</v>
      </c>
      <c r="B498" s="6" t="s">
        <v>19</v>
      </c>
      <c r="C498" s="6">
        <v>16</v>
      </c>
      <c r="D498" s="6">
        <v>1019</v>
      </c>
      <c r="E498" s="6">
        <v>895</v>
      </c>
    </row>
    <row r="499" ht="14.25" customHeight="1" spans="1:5">
      <c r="A499" s="5">
        <v>43983</v>
      </c>
      <c r="B499" s="6" t="s">
        <v>9</v>
      </c>
      <c r="C499" s="6">
        <v>15</v>
      </c>
      <c r="D499" s="6">
        <v>453</v>
      </c>
      <c r="E499" s="6">
        <v>370</v>
      </c>
    </row>
    <row r="500" ht="14.25" customHeight="1" spans="1:5">
      <c r="A500" s="5">
        <v>43983</v>
      </c>
      <c r="B500" s="6" t="s">
        <v>15</v>
      </c>
      <c r="C500" s="6">
        <v>123</v>
      </c>
      <c r="D500" s="6">
        <v>20325</v>
      </c>
      <c r="E500" s="6">
        <v>18935</v>
      </c>
    </row>
    <row r="501" ht="14.25" customHeight="1" spans="1:5">
      <c r="A501" s="5">
        <v>43983</v>
      </c>
      <c r="B501" s="6" t="s">
        <v>14</v>
      </c>
      <c r="C501" s="6">
        <v>128</v>
      </c>
      <c r="D501" s="6">
        <v>16285</v>
      </c>
      <c r="E501" s="6">
        <v>15130</v>
      </c>
    </row>
    <row r="502" ht="14.25" customHeight="1" spans="1:5">
      <c r="A502" s="5">
        <v>43983</v>
      </c>
      <c r="B502" s="6" t="s">
        <v>12</v>
      </c>
      <c r="C502" s="6">
        <v>10</v>
      </c>
      <c r="D502" s="6">
        <v>719</v>
      </c>
      <c r="E502" s="6">
        <v>627</v>
      </c>
    </row>
    <row r="503" ht="14.25" customHeight="1" spans="1:5">
      <c r="A503" s="5">
        <v>43983</v>
      </c>
      <c r="B503" s="6" t="s">
        <v>25</v>
      </c>
      <c r="C503" s="6">
        <v>9</v>
      </c>
      <c r="D503" s="6">
        <v>294</v>
      </c>
      <c r="E503" s="6">
        <v>224</v>
      </c>
    </row>
    <row r="504" ht="14.25" customHeight="1" spans="1:5">
      <c r="A504" s="5">
        <v>43983</v>
      </c>
      <c r="B504" s="6" t="s">
        <v>24</v>
      </c>
      <c r="C504" s="6">
        <v>7</v>
      </c>
      <c r="D504" s="6">
        <v>500</v>
      </c>
      <c r="E504" s="6">
        <v>418</v>
      </c>
    </row>
    <row r="505" ht="14.25" customHeight="1" spans="1:5">
      <c r="A505" s="5">
        <v>43983</v>
      </c>
      <c r="B505" s="6" t="s">
        <v>26</v>
      </c>
      <c r="C505" s="6">
        <v>6</v>
      </c>
      <c r="D505" s="6">
        <v>237</v>
      </c>
      <c r="E505" s="6">
        <v>175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4" sqref="B4"/>
    </sheetView>
  </sheetViews>
  <sheetFormatPr defaultColWidth="8.72727272727273" defaultRowHeight="14.5" outlineLevelRow="6" outlineLevelCol="2"/>
  <cols>
    <col min="1" max="1" width="23.2727272727273"/>
    <col min="2" max="3" width="27.1818181818182"/>
  </cols>
  <sheetData>
    <row r="1" spans="1:3">
      <c r="A1" t="s">
        <v>8</v>
      </c>
      <c r="B1" s="1">
        <v>23</v>
      </c>
    </row>
    <row r="3" spans="1:3">
      <c r="A3" t="s">
        <v>1</v>
      </c>
      <c r="B3" t="s">
        <v>27</v>
      </c>
      <c r="C3" t="s">
        <v>28</v>
      </c>
    </row>
    <row r="4" spans="1:3">
      <c r="A4" t="s">
        <v>15</v>
      </c>
      <c r="B4">
        <v>37257840.18135</v>
      </c>
      <c r="C4" s="3">
        <v>0.440956121924484</v>
      </c>
    </row>
    <row r="5" spans="1:3">
      <c r="A5" t="s">
        <v>14</v>
      </c>
      <c r="B5">
        <v>27770092.5</v>
      </c>
      <c r="C5" s="3">
        <v>0.328666187698497</v>
      </c>
    </row>
    <row r="6" spans="1:3">
      <c r="A6" t="s">
        <v>21</v>
      </c>
      <c r="B6">
        <v>19465372.5</v>
      </c>
      <c r="C6" s="3">
        <v>0.230377690377019</v>
      </c>
    </row>
    <row r="7" spans="1:3">
      <c r="A7" t="s">
        <v>29</v>
      </c>
      <c r="B7">
        <v>84493305.18135</v>
      </c>
      <c r="C7" s="3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C19" sqref="C19"/>
    </sheetView>
  </sheetViews>
  <sheetFormatPr defaultColWidth="8.72727272727273" defaultRowHeight="14.5" outlineLevelRow="6" outlineLevelCol="1"/>
  <cols>
    <col min="1" max="1" width="23.2727272727273"/>
    <col min="2" max="2" width="30.9090909090909"/>
  </cols>
  <sheetData>
    <row r="1" spans="1:2">
      <c r="A1" t="s">
        <v>8</v>
      </c>
      <c r="B1" s="1">
        <v>23</v>
      </c>
    </row>
    <row r="3" spans="1:2">
      <c r="A3" t="s">
        <v>1</v>
      </c>
      <c r="B3" t="s">
        <v>30</v>
      </c>
    </row>
    <row r="4" spans="1:2">
      <c r="A4" t="s">
        <v>22</v>
      </c>
      <c r="B4" s="2">
        <v>350262.861111111</v>
      </c>
    </row>
    <row r="5" spans="1:2">
      <c r="A5" t="s">
        <v>21</v>
      </c>
      <c r="B5" s="2">
        <v>329921.56779661</v>
      </c>
    </row>
    <row r="6" spans="1:2">
      <c r="A6" t="s">
        <v>15</v>
      </c>
      <c r="B6" s="2">
        <v>302909.269767073</v>
      </c>
    </row>
    <row r="7" spans="1:2">
      <c r="A7" t="s">
        <v>29</v>
      </c>
      <c r="B7" s="2">
        <v>983093.698674794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opLeftCell="A10" workbookViewId="0">
      <selection activeCell="A1" sqref="A1"/>
    </sheetView>
  </sheetViews>
  <sheetFormatPr defaultColWidth="8.72727272727273" defaultRowHeight="14.5" outlineLevelRow="7" outlineLevelCol="2"/>
  <cols>
    <col min="1" max="1" width="12.1818181818182"/>
    <col min="2" max="3" width="30.3636363636364"/>
  </cols>
  <sheetData>
    <row r="1" spans="1:3">
      <c r="A1" t="s">
        <v>8</v>
      </c>
      <c r="B1" t="s">
        <v>30</v>
      </c>
      <c r="C1" t="s">
        <v>28</v>
      </c>
    </row>
    <row r="2" spans="1:3">
      <c r="A2">
        <v>18</v>
      </c>
      <c r="B2">
        <v>15050189.4844213</v>
      </c>
      <c r="C2">
        <v>836803032</v>
      </c>
    </row>
    <row r="3" spans="1:3">
      <c r="A3">
        <v>19</v>
      </c>
      <c r="B3">
        <v>17810866.5037846</v>
      </c>
      <c r="C3">
        <v>983915409.85665</v>
      </c>
    </row>
    <row r="4" spans="1:3">
      <c r="A4">
        <v>20</v>
      </c>
      <c r="B4">
        <v>17504431.2544996</v>
      </c>
      <c r="C4">
        <v>947263006.72395</v>
      </c>
    </row>
    <row r="5" spans="1:3">
      <c r="A5">
        <v>21</v>
      </c>
      <c r="B5">
        <v>18752594.736983</v>
      </c>
      <c r="C5">
        <v>1002691883.0466</v>
      </c>
    </row>
    <row r="6" spans="1:3">
      <c r="A6">
        <v>22</v>
      </c>
      <c r="B6">
        <v>20458986.9163627</v>
      </c>
      <c r="C6">
        <v>1055653508.75385</v>
      </c>
    </row>
    <row r="7" spans="1:3">
      <c r="A7">
        <v>23</v>
      </c>
      <c r="B7">
        <v>2786041.43567661</v>
      </c>
      <c r="C7">
        <v>136032376.68135</v>
      </c>
    </row>
    <row r="8" spans="1:3">
      <c r="A8" t="s">
        <v>29</v>
      </c>
      <c r="B8">
        <v>92363110.3317277</v>
      </c>
      <c r="C8">
        <v>4962359217.0624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Сводная таблица Товарооборот</vt:lpstr>
      <vt:lpstr>Сводная таблица Т. на склад</vt:lpstr>
      <vt:lpstr>График по неделям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Askhat</cp:lastModifiedBy>
  <dcterms:created xsi:type="dcterms:W3CDTF">2021-09-13T10:17:00Z</dcterms:created>
  <dcterms:modified xsi:type="dcterms:W3CDTF">2026-04-02T11:19:53Z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0ADEA76A53464AB6952DC26C3AC1A9FB_12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